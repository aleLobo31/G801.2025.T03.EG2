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45 F1 CEVL" sheetId="1" r:id="rId4"/>
    <sheet state="visible" name="GE2 2024 F1" sheetId="2" r:id="rId5"/>
    <sheet state="visible" name="GE2 2024 F2" sheetId="3" r:id="rId6"/>
    <sheet state="visible" name="GE2 2024 F3" sheetId="4" r:id="rId7"/>
  </sheets>
  <definedNames/>
  <calcPr/>
  <extLst>
    <ext uri="GoogleSheetsCustomDataVersion2">
      <go:sheetsCustomData xmlns:go="http://customooxmlschemas.google.com/" r:id="rId8" roundtripDataChecksum="U/cIbiV6hL+f1mIGKOlGy2R14/8c8wu9Ta4vymAgEGw="/>
    </ext>
  </extLst>
</workbook>
</file>

<file path=xl/sharedStrings.xml><?xml version="1.0" encoding="utf-8"?>
<sst xmlns="http://schemas.openxmlformats.org/spreadsheetml/2006/main" count="1150" uniqueCount="507">
  <si>
    <t>VARIABLE</t>
  </si>
  <si>
    <t>CRITERIO</t>
  </si>
  <si>
    <t>CLASES VÁLIDAS</t>
  </si>
  <si>
    <t>CLASES NO VALIDAS</t>
  </si>
  <si>
    <t>FROM_IBAN</t>
  </si>
  <si>
    <t>TIPO DE DATOS</t>
  </si>
  <si>
    <t>CEV1 - STRING (ES1021002152980200638904)</t>
  </si>
  <si>
    <t>CENV1 - NO ES UN STRING</t>
  </si>
  <si>
    <t>ALGORITMO IBAN</t>
  </si>
  <si>
    <t>CEV2 - IBAN VÁLIDO (ES1021002152980200638904)</t>
  </si>
  <si>
    <r>
      <rPr>
        <rFont val="Arial"/>
        <color theme="1"/>
        <sz val="12.0"/>
      </rPr>
      <t>CENV2 - IBAN NO VÁLIDO (ES102100215298020063890</t>
    </r>
    <r>
      <rPr>
        <rFont val="Arial"/>
        <color rgb="FFFF0000"/>
        <sz val="12.0"/>
      </rPr>
      <t>3</t>
    </r>
    <r>
      <rPr>
        <rFont val="Arial"/>
        <color theme="1"/>
        <sz val="12.0"/>
      </rPr>
      <t>)</t>
    </r>
  </si>
  <si>
    <t>LONGITUD (ESPAÑA)</t>
  </si>
  <si>
    <t>CEV3 - MIDE 24 (ES1021002152980200638904)</t>
  </si>
  <si>
    <t>CENV3 - MIDE MENOS DE 24 (ES10210021529802006)</t>
  </si>
  <si>
    <t>CENV4 - MIDE MÁS DE 24 (ES102100215298020063890400000)</t>
  </si>
  <si>
    <t>VLV1 - 24 (ES1021002152980200638904)</t>
  </si>
  <si>
    <t xml:space="preserve">VLNV1 - 23 (ES102100215298020063890) </t>
  </si>
  <si>
    <t>VLNV2 - 25 (ES1021002152980200638900)</t>
  </si>
  <si>
    <t>ES</t>
  </si>
  <si>
    <t>CEV4 - COMIENZA POR ES (ES1021002152980200638904)</t>
  </si>
  <si>
    <r>
      <rPr>
        <rFont val="Arial"/>
        <color theme="1"/>
        <sz val="12.0"/>
      </rPr>
      <t>CENV5 - NO COMIENZA POR ES (</t>
    </r>
    <r>
      <rPr>
        <rFont val="Arial"/>
        <color rgb="FFFF0000"/>
        <sz val="12.0"/>
      </rPr>
      <t>RR</t>
    </r>
    <r>
      <rPr>
        <rFont val="Arial"/>
        <color theme="1"/>
        <sz val="12.0"/>
      </rPr>
      <t>1021002152980200638904)</t>
    </r>
  </si>
  <si>
    <t>TO_IBAN</t>
  </si>
  <si>
    <t>CEV5 - STRING (ES6100491770992410212466)</t>
  </si>
  <si>
    <t>CENV6 - NO ES UN STRING</t>
  </si>
  <si>
    <t>CEV6 - IBAN VÁLIDO (ES6100491770992410212466)</t>
  </si>
  <si>
    <r>
      <rPr>
        <rFont val="Arial"/>
        <color theme="1"/>
        <sz val="12.0"/>
      </rPr>
      <t>CENV7 - IBAN NO VÁLIDO (ES102100215298020063890</t>
    </r>
    <r>
      <rPr>
        <rFont val="Arial"/>
        <color rgb="FFFF0000"/>
        <sz val="12.0"/>
      </rPr>
      <t>3</t>
    </r>
    <r>
      <rPr>
        <rFont val="Arial"/>
        <color theme="1"/>
        <sz val="12.0"/>
      </rPr>
      <t>)</t>
    </r>
  </si>
  <si>
    <t>CEV7 - MIDE 24 (ES6100491770992410212466)</t>
  </si>
  <si>
    <t>CENV8 - MIDE MENOS DE 24 (ES10210021529802006)</t>
  </si>
  <si>
    <t>CENV9 - MIDE MÁS DE 24 (ES102100215298020063890400000)</t>
  </si>
  <si>
    <t>VLV2 - 24 (ES6100491770992410212466)</t>
  </si>
  <si>
    <t xml:space="preserve">VLNV3 - 23 (ES102100215298020063890) </t>
  </si>
  <si>
    <t>VLNV4 - 25 (ES1021002152980200638900)</t>
  </si>
  <si>
    <t>CEV8 - COMIENZA POR ES (ES6100491770992410212466)</t>
  </si>
  <si>
    <r>
      <rPr>
        <rFont val="Arial"/>
        <color theme="1"/>
        <sz val="12.0"/>
      </rPr>
      <t>CENV10 - NO COMIENZA POR ES (</t>
    </r>
    <r>
      <rPr>
        <rFont val="Arial"/>
        <color rgb="FFFF0000"/>
        <sz val="12.0"/>
      </rPr>
      <t>RR</t>
    </r>
    <r>
      <rPr>
        <rFont val="Arial"/>
        <color theme="1"/>
        <sz val="12.0"/>
      </rPr>
      <t>1021002152980200638904)</t>
    </r>
  </si>
  <si>
    <t>DISTINTO DE "FROM_IBAN"</t>
  </si>
  <si>
    <t>CEV9 - DISINTO DE FROM_IBAN (ES6100491770992410212466)</t>
  </si>
  <si>
    <t>CENV11 - IGUAL QUE FROM_IBAN(ES1021002152980200638904)</t>
  </si>
  <si>
    <t>CONCEPT</t>
  </si>
  <si>
    <t>CEV10 - STRING ("Clase Spin")</t>
  </si>
  <si>
    <t>CENV12 - NO ES UN STRING</t>
  </si>
  <si>
    <t>LONGITUD ENTRE 10 Y 30</t>
  </si>
  <si>
    <t>CEV11 - ENTRE 10 Y 30 ("Clase Spin")</t>
  </si>
  <si>
    <t>CENV13 - POR DEBAJO DE 10 ("Clase Spi")</t>
  </si>
  <si>
    <t>VLV3 - 10 ("Clase Spin")</t>
  </si>
  <si>
    <t>CENV14 - POR ENCIMA DE 30 ("2 Manzanas, 3 Platanos y 1 ajos")</t>
  </si>
  <si>
    <t>VLV4 - 11("Clase Spini")</t>
  </si>
  <si>
    <t>VLNV5 - 9 ("Clase Spi")</t>
  </si>
  <si>
    <t>VLV5 - 29 ("Manzanass Platanoss Lechugass")</t>
  </si>
  <si>
    <t>VLNV6 - 31 ("2 Manzanas, 3 Platanos y 1 ajos")</t>
  </si>
  <si>
    <t>VLV6 - 30 ("2 Manzanas, 3 Platanos y 1 ajo")</t>
  </si>
  <si>
    <t>CENV15 - CADENA ("CompraDeMaquinaria")</t>
  </si>
  <si>
    <t>AL MENOS DOS CADENAS</t>
  </si>
  <si>
    <t>CEV12 - CADENA ("Clase Spin")</t>
  </si>
  <si>
    <t>VLNV7 - 1 ("CompraDeMaquinaria")</t>
  </si>
  <si>
    <t>VLV7 - 2 ("Clase Spin")</t>
  </si>
  <si>
    <t>VLV8 - 3 ("Manzanass Platanoss Lechugass")</t>
  </si>
  <si>
    <t xml:space="preserve"> AL MENOS DOS CADENAS DE LA FORMA [a-z A-Z]</t>
  </si>
  <si>
    <t>CEV13 - DOS CADENAS CON LETRAS ("Clase Spin")</t>
  </si>
  <si>
    <t>CENV16 - DOS CADENAS SIN LETRAS ("387492 893748")</t>
  </si>
  <si>
    <t>TYPE</t>
  </si>
  <si>
    <t>CEV14 - STRING ("ORDINARY")</t>
  </si>
  <si>
    <t>CENV17 - NO ES UN STRING</t>
  </si>
  <si>
    <t>DENTRO DEL DOMINIO (ORDINARY, URGENT, INMEDIATE)</t>
  </si>
  <si>
    <t>CEV15 - ("ORDINARY")</t>
  </si>
  <si>
    <t>CENV18 - ("OTHER")</t>
  </si>
  <si>
    <t>CEV16 - ("URGENT")</t>
  </si>
  <si>
    <t>CEV17 - ("INMEDIATE")</t>
  </si>
  <si>
    <t>DATE</t>
  </si>
  <si>
    <t>CEV18 - STRING ("01/07/2024")</t>
  </si>
  <si>
    <t>CENV19 - NO ES UN STRING</t>
  </si>
  <si>
    <t>FORMATO ("DD/MM/YYYY")</t>
  </si>
  <si>
    <t>CEV19 - ("01/07/2024")</t>
  </si>
  <si>
    <t>CENV20 - ("1 Julio 2024")</t>
  </si>
  <si>
    <t>DATE &gt;= ORDEN TRANSFERENCIA</t>
  </si>
  <si>
    <t>CEV20 -  ("01/07/2024") y ORDEN ("01/07/2024")</t>
  </si>
  <si>
    <t>CENV21 - ("01/07/2024") y ORDEN ("02/07/2024")</t>
  </si>
  <si>
    <t>VLV9 - MISMA FECHA ("01/07/2024") y ORDEN ("01/07/2024")</t>
  </si>
  <si>
    <t>VLNV8 - UN DÍA ANTES ("01/07/2024") y ORDEN ("02/07/2024")</t>
  </si>
  <si>
    <t>VLV10 - UN DÍA DESPUÉS ("01/07/2024") y ORDEN ("30/06/2024")</t>
  </si>
  <si>
    <t>AMOUNT</t>
  </si>
  <si>
    <t>CEV21 - STRING (10.00)</t>
  </si>
  <si>
    <t>CENV22 - FLOAT 10.00</t>
  </si>
  <si>
    <t>CENV23 - INT 10</t>
  </si>
  <si>
    <t>VALOR NUMÉRICO</t>
  </si>
  <si>
    <t>CEV22 - ES UN NÚMERO</t>
  </si>
  <si>
    <t>CENV 24 - NO ES UN NÚMERO ("aaa")</t>
  </si>
  <si>
    <t>DOS DECIMALES</t>
  </si>
  <si>
    <t>CEV23 - FLOAT (10.00)</t>
  </si>
  <si>
    <t>CENV25 - MÁS DE DOS DECIMALES (10.123)</t>
  </si>
  <si>
    <t>VLNV9 3 - 10.123</t>
  </si>
  <si>
    <t>CENV26 - MENOS DE DOS DECIMALES (10.1)</t>
  </si>
  <si>
    <t>VLNV10 1 - 10.1</t>
  </si>
  <si>
    <t>ENTRE (10.00 Y 10000.00)</t>
  </si>
  <si>
    <t>CEV24 - EN RANGO (10.00)</t>
  </si>
  <si>
    <t xml:space="preserve">CENV27 - MENOR QUE 10 </t>
  </si>
  <si>
    <t>VLV11 - 10.00</t>
  </si>
  <si>
    <t>CENV28 - MAYOR QUE 10000</t>
  </si>
  <si>
    <t>VLV12 - 10.01</t>
  </si>
  <si>
    <t>VLNV11 - 9.99</t>
  </si>
  <si>
    <t>VLV13 - 9999.99</t>
  </si>
  <si>
    <t>VLNV12 - 10000.01</t>
  </si>
  <si>
    <t>VLV14 - 10000.00</t>
  </si>
  <si>
    <t>RESULTADO ESPERADO</t>
  </si>
  <si>
    <t>CEV25 - CADENA MD5 (TransferCode)</t>
  </si>
  <si>
    <t>CENV29 - AccountManagementException</t>
  </si>
  <si>
    <t>CEV26 - FICHERO CON DATOS TRANSFERENCIA</t>
  </si>
  <si>
    <t>CENV30 - AccountManagementException Transacción Repetida</t>
  </si>
  <si>
    <t>#</t>
  </si>
  <si>
    <t>I/O</t>
  </si>
  <si>
    <t>TECHNIQUE</t>
  </si>
  <si>
    <t>VALID/INVALID</t>
  </si>
  <si>
    <t>ID TEST</t>
  </si>
  <si>
    <t>DESCRIPTION</t>
  </si>
  <si>
    <t>RESULT</t>
  </si>
  <si>
    <t>CES, VL CUBIERTOS</t>
  </si>
  <si>
    <t>INPUT/OUTPUT</t>
  </si>
  <si>
    <t>CE</t>
  </si>
  <si>
    <t>VALID</t>
  </si>
  <si>
    <t>TC1</t>
  </si>
  <si>
    <t>TODO VÁLIDO (ORDEN DE LA TRANSACCIÓN 1/7/2024)</t>
  </si>
  <si>
    <t>ES1021002152980200638904</t>
  </si>
  <si>
    <t>ES6100491770992410212466</t>
  </si>
  <si>
    <t>Clase Spin</t>
  </si>
  <si>
    <t>ORDINARY</t>
  </si>
  <si>
    <t>Tansfer_Code and all_transfers.json created and writed</t>
  </si>
  <si>
    <t>CEV1, CEV2, CEV3, VLV1, CEV4, CEV5, CEV6, CEV7, VLV2, CEV8, CEV9, CEV10, CEV11, VLV3, CEV12, VLV7, CEV13, CEV14, CEV15, CEV18, CEV19, VLV9, CEV20, CEV21, CEV22, VLV11, CEV23, CEV24, CEV25, CEV26</t>
  </si>
  <si>
    <t>INPUT</t>
  </si>
  <si>
    <t>INVALID</t>
  </si>
  <si>
    <t>TC2</t>
  </si>
  <si>
    <t>FROM IBAN NO ES UN STRING</t>
  </si>
  <si>
    <t>500.23</t>
  </si>
  <si>
    <t>"El IBAN no es un String"</t>
  </si>
  <si>
    <t>CENV1, CENV28</t>
  </si>
  <si>
    <t>TC3</t>
  </si>
  <si>
    <t>FROM IBAN NO ES UN IBAN</t>
  </si>
  <si>
    <t>ES1021002152980200638905</t>
  </si>
  <si>
    <t>"IBAN no valido"</t>
  </si>
  <si>
    <t>CENV2</t>
  </si>
  <si>
    <t>TC4</t>
  </si>
  <si>
    <t>FROM IBAN MIDE 23</t>
  </si>
  <si>
    <t>ES102100215298020063890</t>
  </si>
  <si>
    <t>"El IBAN debe tener 24 caracteres"</t>
  </si>
  <si>
    <t>CENV3, VLNV1</t>
  </si>
  <si>
    <t>TC5</t>
  </si>
  <si>
    <t>FROM IBAN MIDE 25</t>
  </si>
  <si>
    <t>ES10210021529802006389047</t>
  </si>
  <si>
    <t>CENV4, VLNV2</t>
  </si>
  <si>
    <t>TC6</t>
  </si>
  <si>
    <t>FROM IBAN NO COMIENZA POR ES</t>
  </si>
  <si>
    <t>RR1021002152980200638904</t>
  </si>
  <si>
    <t>"El IBAN debe empezar por ES"</t>
  </si>
  <si>
    <t>CENV5</t>
  </si>
  <si>
    <t>TC7</t>
  </si>
  <si>
    <t>TO IBAN NO ES UN STRING</t>
  </si>
  <si>
    <t>CENV6</t>
  </si>
  <si>
    <t>TC8</t>
  </si>
  <si>
    <t>TO IBAN NO ES UN IBAN</t>
  </si>
  <si>
    <t>CENV7</t>
  </si>
  <si>
    <t>TC9</t>
  </si>
  <si>
    <t>TO IBAN MIDE 23</t>
  </si>
  <si>
    <t>CENV8, VLNV3</t>
  </si>
  <si>
    <t>TC10</t>
  </si>
  <si>
    <t>TO IBAN MIDE 25</t>
  </si>
  <si>
    <t>CENV9, VLNV4</t>
  </si>
  <si>
    <t>TC11</t>
  </si>
  <si>
    <t>TO IBAN NO COMIENZA POR ES</t>
  </si>
  <si>
    <t>CENV10</t>
  </si>
  <si>
    <t>TC12</t>
  </si>
  <si>
    <t>TO IBAN IGUAL QUE FROM IBAN</t>
  </si>
  <si>
    <t>"TO IBAN no puede ser igual que FROM IBAN"</t>
  </si>
  <si>
    <t>CENV11</t>
  </si>
  <si>
    <t>VL</t>
  </si>
  <si>
    <t>TC13</t>
  </si>
  <si>
    <t>CONCEPT CON LEN 11</t>
  </si>
  <si>
    <t>Clase Spini</t>
  </si>
  <si>
    <t>VLV4</t>
  </si>
  <si>
    <t>TC14</t>
  </si>
  <si>
    <t>CONCEPT CON LEN 29 y 3 CADENAS DE CARACTERES</t>
  </si>
  <si>
    <t>Manzanass Platanoss Lechugass</t>
  </si>
  <si>
    <t>VLV5, VLV8</t>
  </si>
  <si>
    <t>TC15</t>
  </si>
  <si>
    <t>CONCEPT CON LEN 30</t>
  </si>
  <si>
    <t>2 Manzanas, 3 Platanos y 1 ajo</t>
  </si>
  <si>
    <t>VLV6</t>
  </si>
  <si>
    <t>TC16</t>
  </si>
  <si>
    <t>CONCEPT NO ES UN STRING</t>
  </si>
  <si>
    <t>"El concepto no es un String"</t>
  </si>
  <si>
    <t>CENV12</t>
  </si>
  <si>
    <t>TC17</t>
  </si>
  <si>
    <t>COCEPT CON LEN 9</t>
  </si>
  <si>
    <t>Clase Spi</t>
  </si>
  <si>
    <t>"El concepto debe tener al menos 10 caracteres"</t>
  </si>
  <si>
    <t>CENV13, VLNV5</t>
  </si>
  <si>
    <t>TC18</t>
  </si>
  <si>
    <t>CONCEPT CON LEN 31</t>
  </si>
  <si>
    <t>2 Manzanas, 3 Platanos y 1 ajos</t>
  </si>
  <si>
    <t>"El concepto debe tener como máximo 30 caracteres"</t>
  </si>
  <si>
    <t>CENV14, VLNV6</t>
  </si>
  <si>
    <t>TC19</t>
  </si>
  <si>
    <t>CONCEPT CON UNA SOLA CADENA CON LETRAS</t>
  </si>
  <si>
    <t>CompraDeMaquinaria</t>
  </si>
  <si>
    <t>"El concepto debe tener al menos dos cadenas de letras"</t>
  </si>
  <si>
    <t>CENV15, VLNV7</t>
  </si>
  <si>
    <t>TC20</t>
  </si>
  <si>
    <t>CONCEPT CON DOS CADENAS SIN LETRAS</t>
  </si>
  <si>
    <t>387492 893748</t>
  </si>
  <si>
    <t>CENV16</t>
  </si>
  <si>
    <t>TC21</t>
  </si>
  <si>
    <t>TYPE URGENT</t>
  </si>
  <si>
    <t>URGENT</t>
  </si>
  <si>
    <t>CEV16</t>
  </si>
  <si>
    <t>TC22</t>
  </si>
  <si>
    <t>TYPE INMEDIATE</t>
  </si>
  <si>
    <t>INMEDIATE</t>
  </si>
  <si>
    <t>CEV17</t>
  </si>
  <si>
    <t>TC23</t>
  </si>
  <si>
    <t>TYPE NO ES UN STRING</t>
  </si>
  <si>
    <t>"El tipo de la transaccion no es un string"</t>
  </si>
  <si>
    <t>CENV17</t>
  </si>
  <si>
    <t>TC24</t>
  </si>
  <si>
    <t>TYPE NO PERTENECE AL DOMINIO. EJ OTHER</t>
  </si>
  <si>
    <t>OTHER</t>
  </si>
  <si>
    <t>"El tipo de la transaccion es desconocido"</t>
  </si>
  <si>
    <t>CENV18</t>
  </si>
  <si>
    <t>TC25</t>
  </si>
  <si>
    <t>DATE DE LA TRANSACCIÓN POSTERIOR A LA ORDEN (30/6/2024)</t>
  </si>
  <si>
    <t>VLV10</t>
  </si>
  <si>
    <t>TC26</t>
  </si>
  <si>
    <t>DATE NO ES UN STRING</t>
  </si>
  <si>
    <t>"La fecha de la transaccion no es un string"</t>
  </si>
  <si>
    <t>CENV19</t>
  </si>
  <si>
    <t>TC27</t>
  </si>
  <si>
    <t>DATE TIENE UN FORMATO INCORRECTO</t>
  </si>
  <si>
    <t>"1 Julio 2024"</t>
  </si>
  <si>
    <t>"La fecha de la transaccion no sigue el formato 'DD/MM/YYYY'"</t>
  </si>
  <si>
    <t>CENV20</t>
  </si>
  <si>
    <t>TC28</t>
  </si>
  <si>
    <t>DATE DE LA TRANSACCIÓN ANTERIOR A LA ORDEN (2/7/2024)</t>
  </si>
  <si>
    <t>"La fecha de la transaccion es anterior a su orden"</t>
  </si>
  <si>
    <t>CENV21, VLNV8</t>
  </si>
  <si>
    <t>TC29</t>
  </si>
  <si>
    <t>AMOUNT 10.01</t>
  </si>
  <si>
    <t>VLV12</t>
  </si>
  <si>
    <t>TC30</t>
  </si>
  <si>
    <t>AMOUNT 9999.99</t>
  </si>
  <si>
    <t>VLV13</t>
  </si>
  <si>
    <t>TC31</t>
  </si>
  <si>
    <t>AMOUNT 10000.00</t>
  </si>
  <si>
    <t>VLV14</t>
  </si>
  <si>
    <t>TC32</t>
  </si>
  <si>
    <t>AMOUNT ES UN FLOAT</t>
  </si>
  <si>
    <t>"La cantidad debe ser un string"</t>
  </si>
  <si>
    <t>CENV22, CENV23</t>
  </si>
  <si>
    <t>TC33</t>
  </si>
  <si>
    <t>AMOUNT ES NUMÉRICO</t>
  </si>
  <si>
    <t>"aaa"</t>
  </si>
  <si>
    <t>"La cantidad debe ser valor numerico decimal"</t>
  </si>
  <si>
    <t>CENV24</t>
  </si>
  <si>
    <t>TC34</t>
  </si>
  <si>
    <t>AMOUNT TIENE MÁS DE 2 DECIMALES</t>
  </si>
  <si>
    <t>"10,123"</t>
  </si>
  <si>
    <t>"La cantidad debe tener dos decimales"</t>
  </si>
  <si>
    <t>CENV25, VLNV9</t>
  </si>
  <si>
    <t>TC35</t>
  </si>
  <si>
    <t>AMOUNT TIENE MENOS DE 2 DECIMALES</t>
  </si>
  <si>
    <t>"10,1"</t>
  </si>
  <si>
    <t>CENV26, VLNV10</t>
  </si>
  <si>
    <t>TC36</t>
  </si>
  <si>
    <t>AMOUNT MENOR QUE 10.00</t>
  </si>
  <si>
    <t>"9,99"</t>
  </si>
  <si>
    <t>"La cantidad tiene que ser al menos 10,00€"</t>
  </si>
  <si>
    <t>CENV27, VLNV11</t>
  </si>
  <si>
    <t>TC37</t>
  </si>
  <si>
    <t>AMOUNT MAYOR QUE 10000.00</t>
  </si>
  <si>
    <t>"10000,01"</t>
  </si>
  <si>
    <t>"La cantidad no puede superar 10.000,00€"</t>
  </si>
  <si>
    <t>CENV28, VLNV12</t>
  </si>
  <si>
    <t>OUTPUT</t>
  </si>
  <si>
    <t>TC38</t>
  </si>
  <si>
    <t>REPEATED TRANSACTION</t>
  </si>
  <si>
    <t>"Esta transaccion ya ha sido registrada"</t>
  </si>
  <si>
    <t>CENV30</t>
  </si>
  <si>
    <t>NODO</t>
  </si>
  <si>
    <t>TERMINAL  (T) / 
NO TERMINAL (NT)</t>
  </si>
  <si>
    <r>
      <rPr>
        <rFont val="Calibri"/>
        <b/>
        <color rgb="FFFFFFFF"/>
        <sz val="12.0"/>
      </rPr>
      <t xml:space="preserve">TIPO
</t>
    </r>
    <r>
      <rPr>
        <rFont val="Calibri"/>
        <b/>
        <color rgb="FFFFFFFF"/>
        <sz val="10.0"/>
      </rPr>
      <t>(DUPLICATION / DELETION / MODIFICATION / VALID)</t>
    </r>
  </si>
  <si>
    <t>DESCRIPCIÓN</t>
  </si>
  <si>
    <t>RUTA</t>
  </si>
  <si>
    <t>CONTENIDO FICHERO</t>
  </si>
  <si>
    <t>OBSERVACIONES</t>
  </si>
  <si>
    <t>Todos</t>
  </si>
  <si>
    <t>T</t>
  </si>
  <si>
    <t>Valid Test With all Non-Terminal Nodes correct</t>
  </si>
  <si>
    <t>f2_test_case.json</t>
  </si>
  <si>
    <t>{"IBAN":"ES9121000418450200051332","AMOUNT":"EUR 1250.55"}</t>
  </si>
  <si>
    <t>OK &lt;valid hash for these values&gt;</t>
  </si>
  <si>
    <t>NT</t>
  </si>
  <si>
    <t>DELETION</t>
  </si>
  <si>
    <t>Deletion of all json file</t>
  </si>
  <si>
    <t>""</t>
  </si>
  <si>
    <t>KO (JSON Decode Error)</t>
  </si>
  <si>
    <t>DUPLICATION</t>
  </si>
  <si>
    <t>Duplication of all json file</t>
  </si>
  <si>
    <t>{"IBAN":"ES9121000418450200051332","AMOUNT":"EUR 1250.55"}{"IBAN":"ES9121000418450200051332","AMOUNT":"EUR 1250.55"}</t>
  </si>
  <si>
    <t>Quizás la librería json coja sólo el primero</t>
  </si>
  <si>
    <t>NT/T</t>
  </si>
  <si>
    <t>Deletion of first "{"</t>
  </si>
  <si>
    <t>"IBAN":"ES9121000418450200051332", "AMOUNT":"EUR 1250.55"}</t>
  </si>
  <si>
    <t>Duplication of first "{"</t>
  </si>
  <si>
    <t>{{"IBAN":"ES9121000418450200051332","AMOUNT":"EUR 1250.55"}</t>
  </si>
  <si>
    <t>MODIFICATION</t>
  </si>
  <si>
    <t>Change "{" for "#"</t>
  </si>
  <si>
    <t>#"IBAN":"ES9121000418450200051332","AMOUNT":"EUR 1250.55"}</t>
  </si>
  <si>
    <t xml:space="preserve">No data </t>
  </si>
  <si>
    <t>{}</t>
  </si>
  <si>
    <t>Data x2</t>
  </si>
  <si>
    <t>{"IBAN":"ES9121000418450200051332","AMOUNT":"EUR 1250.55""IBAN":"ES9121000418450200051332","AMOUNT":"EUR 1250.55"}</t>
  </si>
  <si>
    <t>Deletion of last "}"</t>
  </si>
  <si>
    <t>{"IBAN":"ES9121000418450200051332","AMOUNT":"EUR 1250.55"</t>
  </si>
  <si>
    <t>Duplication of last "}"</t>
  </si>
  <si>
    <t>{"IBAN":"ES9121000418450200051332","AMOUNT":"EUR 1250.55"}}</t>
  </si>
  <si>
    <t>Change "}" for "#"</t>
  </si>
  <si>
    <t>{"IBAN":"ES9121000418450200051332","AMOUNT":"EUR 1250.55"#</t>
  </si>
  <si>
    <t>Deletion of IBAN field</t>
  </si>
  <si>
    <t>{,"AMOUNT":"EUR 1250.55"}</t>
  </si>
  <si>
    <t>Duplication of IBAN field</t>
  </si>
  <si>
    <t>{"IBAN":"ES9121000418450200051332""IBAN":"ES9121000418450200051332","AMOUNT":"EUR 1250.55"}</t>
  </si>
  <si>
    <t xml:space="preserve">Deletion of the , </t>
  </si>
  <si>
    <t>{"IBAN":"ES9121000418450200051332""AMOUNT":"EUR 1250.55"}</t>
  </si>
  <si>
    <t>Duplication of the ,</t>
  </si>
  <si>
    <t>{"IBAN":"ES9121000418450200051332",,"AMOUNT":"EUR 1250.55"}</t>
  </si>
  <si>
    <t xml:space="preserve">Change the "," for a "$" </t>
  </si>
  <si>
    <t>{"IBAN":"ES9121000418450200051332"$"AMOUNT":"EUR 1250.55"}</t>
  </si>
  <si>
    <t>Delete of AMOUNT filed</t>
  </si>
  <si>
    <t>{"IBAN":"ES9121000418450200051332",}</t>
  </si>
  <si>
    <t>Duplication of AMOUNT field</t>
  </si>
  <si>
    <t>{"IBAN":"ES9121000418450200051332","AMOUNT":"EUR 1250.55""AMOUNT":"EUR 1250.55"}</t>
  </si>
  <si>
    <t>Delete of etiqueta_campo_IBAN</t>
  </si>
  <si>
    <t>{:"ES9121000418450200051332","AMOUNT":"EUR 1250.55"}</t>
  </si>
  <si>
    <t>Duplication of etiqueta_campo_IBAN</t>
  </si>
  <si>
    <t>{"IBAN""IBAN":"ES9121000418450200051332","AMOUNT":"EUR 1250.55"}</t>
  </si>
  <si>
    <t>Deletion of igualdad_IBAN</t>
  </si>
  <si>
    <t>{"IBAN""ES9121000418450200051332","AMOUNT":"EUR 1250.55"}</t>
  </si>
  <si>
    <t>Duplication of igualdad_IBAN</t>
  </si>
  <si>
    <t>{"IBAN"::"ES9121000418450200051332","AMOUNT":"EUR 1250.55"}</t>
  </si>
  <si>
    <t>Change : for %</t>
  </si>
  <si>
    <t>{"IBAN"%"ES9121000418450200051332","AMOUNT":"EUR 1250.55"}</t>
  </si>
  <si>
    <t>Deletion of valor_campo_IBAN</t>
  </si>
  <si>
    <t>{"IBAN":,"AMOUNT":"EUR 1250.55"}</t>
  </si>
  <si>
    <t>Duplication of valor_campo_IBAN</t>
  </si>
  <si>
    <t>{"IBAN":"ES9121000418450200051332""ES9121000418450200051332","AMOUNT":"EUR 1250.55"}</t>
  </si>
  <si>
    <t>Deletion of etiqueta_campo_Amount</t>
  </si>
  <si>
    <t>{"IBAN":"ES9121000418450200051332",:"EUR 1250.55"}</t>
  </si>
  <si>
    <t>Duplication of etiqueta_campo_Amount</t>
  </si>
  <si>
    <t>{"IBAN":"ES9121000418450200051332","AMOUNT""AMOUNT":"EUR 1250.55"}</t>
  </si>
  <si>
    <t>Delete of igualdad_Amount</t>
  </si>
  <si>
    <t>{"IBAN":"ES9121000418450200051332","AMOUNT""EUR 1250.55"}</t>
  </si>
  <si>
    <t>Duplication of igualdad_Amount</t>
  </si>
  <si>
    <t>{"IBAN":"ES9121000418450200051332","AMOUNT"::"EUR 1250.55"}</t>
  </si>
  <si>
    <t>Change : for #</t>
  </si>
  <si>
    <t>{"IBAN":"ES9121000418450200051332","AMOUNT"#"EUR 1250.55"}</t>
  </si>
  <si>
    <t>Delete of valor_campo_Amount</t>
  </si>
  <si>
    <t>{"IBAN":"ES9121000418450200051332","AMOUNT":}</t>
  </si>
  <si>
    <t>Duplication of valor_campo_Amount</t>
  </si>
  <si>
    <t>{"IBAN":"ES9121000418450200051332","AMOUNT":"EUR 1250.55""EUR 1250.55"}</t>
  </si>
  <si>
    <t>Delete of comilla_inicial_etiqueta_IBAN</t>
  </si>
  <si>
    <t>{IBAN":"ES9121000418450200051332","AMOUNT":"EUR 1250.55"}</t>
  </si>
  <si>
    <t>Duplication of comilla_inicial_etiqueta_IBAN</t>
  </si>
  <si>
    <t>{""IBAN":"ES9121000418450200051332","AMOUNT":"EUR 1250.55"}</t>
  </si>
  <si>
    <t>Change " for &amp;</t>
  </si>
  <si>
    <t>{&amp;IBAN":"ES9121000418450200051332","AMOUNT":"EUR 1250.55"}</t>
  </si>
  <si>
    <t>Delete of Valor_Etiqueta_IBAN</t>
  </si>
  <si>
    <t>{"":"ES9121000418450200051332","AMOUNT":"EUR 1250.55"}</t>
  </si>
  <si>
    <t>Duplication of Valor_Etiqueta_IBAN</t>
  </si>
  <si>
    <t>{"IBANIBAN":"ES9121000418450200051332","AMOUNT":"EUR 1250.55"}</t>
  </si>
  <si>
    <t>Change IBAN for IBON</t>
  </si>
  <si>
    <t>{"IBON":"ES9121000418450200051332","AMOUNT":"EUR 1250.55"}</t>
  </si>
  <si>
    <t>Delete of comilla_final_etiqueta_IBAN</t>
  </si>
  <si>
    <t>{"IBAN:"ES9121000418450200051332","AMOUNT":"EUR 1250.55"}</t>
  </si>
  <si>
    <t>Duplication of comilla_final_etiqueta_IBAN</t>
  </si>
  <si>
    <t>{"IBAN"":"ES9121000418450200051332","AMOUNT":"EUR 1250.55"}</t>
  </si>
  <si>
    <t>Change " for /</t>
  </si>
  <si>
    <t>{"IBAN/:"ES9121000418450200051332","AMOUNT":"EUR 1250.55"}</t>
  </si>
  <si>
    <t>Delete of comilla_inicial_valor_IBAN</t>
  </si>
  <si>
    <t>{"IBAN":ES9121000418450200051332","AMOUNT":"EUR 1250.55"}</t>
  </si>
  <si>
    <t>Duplication of comilla_inicial_valor_IBAN</t>
  </si>
  <si>
    <t>{"IBAN":""ES9121000418450200051332","AMOUNT":"EUR 1250.55"}</t>
  </si>
  <si>
    <t>Change " for #</t>
  </si>
  <si>
    <t>{"IBAN":#ES9121000418450200051332","AMOUNT":"EUR 1250.55"}</t>
  </si>
  <si>
    <t>Delete IBAN</t>
  </si>
  <si>
    <t>{"IBAN":"","AMOUNT":"EUR 1250.55"}</t>
  </si>
  <si>
    <t>KO (Invalid IBAN)</t>
  </si>
  <si>
    <t xml:space="preserve">Duplication of IBAN </t>
  </si>
  <si>
    <t>{"IBAN":"ES9121000418450200051332ES9121000418450200051332","AMOUNT":"EUR 1250.55"}</t>
  </si>
  <si>
    <t>Deletion of comilla_final_valor_IBAN</t>
  </si>
  <si>
    <t>{"IBAN":"ES9121000418450200051332,"AMOUNT":"EUR 1250.55"}</t>
  </si>
  <si>
    <t>{"IBAN":"ES9121000418450200051332"","AMOUNT":"EUR 1250.55"}</t>
  </si>
  <si>
    <t>Change " for @</t>
  </si>
  <si>
    <t>{"IBAN":"ES9121000418450200051332@,"AMOUNT":"EUR 1250.55"}</t>
  </si>
  <si>
    <t>Deletion of comilla_inicial_etiqueta_Amount</t>
  </si>
  <si>
    <t>{"IBAN":"ES9121000418450200051332",AMOUNT":"EUR 1250.55"}</t>
  </si>
  <si>
    <t>Duplication of comilla_inicial_etiqueta_Amount</t>
  </si>
  <si>
    <t>{"IBAN":"ES9121000418450200051332",""AMOUNT":"EUR 1250.55"}</t>
  </si>
  <si>
    <t>Change " for $</t>
  </si>
  <si>
    <t>{"IBAN":"ES9121000418450200051332",$AMOUNT":"EUR 1250.55"}</t>
  </si>
  <si>
    <t>Deletion of etiqueta_Amount</t>
  </si>
  <si>
    <t>{"IBAN":"ES9121000418450200051332","":"EUR 1250.55"}</t>
  </si>
  <si>
    <t>Duplication of etiqueta_Amount</t>
  </si>
  <si>
    <t>{"IBAN":"ES9121000418450200051332","AMOUNTAMOUNT":"EUR 1250.55"}</t>
  </si>
  <si>
    <t>Change AMOUNT for AMOINT</t>
  </si>
  <si>
    <t>{"IBAN":"ES9121000418450200051332","AMOINT":"EUR 1250.55"}</t>
  </si>
  <si>
    <t>Deletion of comilla_final_etiqueta_Amount</t>
  </si>
  <si>
    <t>{"IBAN":"ES9121000418450200051332","AMOUNT:"EUR 1250.55"}</t>
  </si>
  <si>
    <t>Duplication of comilla_final_etiqueta_Amount</t>
  </si>
  <si>
    <t>{"IBAN":"ES9121000418450200051332","AMOUNT"":"EUR 1250.55"}</t>
  </si>
  <si>
    <t>Change " for *</t>
  </si>
  <si>
    <t>{"IBAN":"ES9121000418450200051332","AMOUNT*:"EUR 1250.55"}</t>
  </si>
  <si>
    <t>Deletion of comilla_inicial_valor_Amount</t>
  </si>
  <si>
    <t>{"IBAN":"ES9121000418450200051332","AMOUNT":EUR 1250.55"}</t>
  </si>
  <si>
    <t>Duplication of comilla_inicial_valor_Amount</t>
  </si>
  <si>
    <t>{"IBAN":"ES9121000418450200051332","AMOUNT":""EUR 1250.55"}</t>
  </si>
  <si>
    <t>{"IBAN":"ES9121000418450200051332","AMOUNT":/EUR 1250.55"}</t>
  </si>
  <si>
    <t>Deletion of valor_Amount</t>
  </si>
  <si>
    <t>{"IBAN":"ES9121000418450200051332","AMOUNT":""}</t>
  </si>
  <si>
    <t>KO (Invalid Amount Format)</t>
  </si>
  <si>
    <t>Duplication of valor_Amount</t>
  </si>
  <si>
    <t>{"IBAN":"ES9121000418450200051332","AMOUNT":"EUR 1250.55EUR 1250.55"}</t>
  </si>
  <si>
    <t>Deletion of comilla_final_valor_Amount</t>
  </si>
  <si>
    <t>{"IBAN":"ES9121000418450200051332","AMOUNT":"EUR 1250.55}</t>
  </si>
  <si>
    <t>Duplication of comilla_final_valor_Amount</t>
  </si>
  <si>
    <t>{"IBAN":"ES9121000418450200051332","AMOUNT":"EUR 1250.55""}</t>
  </si>
  <si>
    <t>{"IBAN":"ES9121000418450200051332","AMOUNT":"EUR 1250.55#}</t>
  </si>
  <si>
    <t>Deletion of codigo_pais(IBAN)</t>
  </si>
  <si>
    <t>{"IBAN":"9121000418450200051332","AMOUNT":"EUR 1250.55"}</t>
  </si>
  <si>
    <t>Duplication of codigo_pais(IBAN)</t>
  </si>
  <si>
    <t>{"IBAN":"ESES9121000418450200051332","AMOUNT":"EUR 1250.55"}</t>
  </si>
  <si>
    <t>Change ES for FR</t>
  </si>
  <si>
    <t>{"IBAN":"FR9121000418450200051332","AMOUNT":"EUR 1250.55"}</t>
  </si>
  <si>
    <t>Deletion of digitos_control(IBAN)</t>
  </si>
  <si>
    <t>{"IBAN":"ES21000418450200051332","AMOUNT":"EUR 1250.55"}</t>
  </si>
  <si>
    <t>Duplication of digitos_control(IBAN)</t>
  </si>
  <si>
    <t>{"IBAN":"ES919121000418450200051332","AMOUNT":"EUR 1250.55"}</t>
  </si>
  <si>
    <t>Change 91 for 9E</t>
  </si>
  <si>
    <t>{"IBAN":"ES9E21000418450200051332","AMOUNT":"EUR 1250.55"}</t>
  </si>
  <si>
    <t>Deletion of numero_cuenta(IBAN)</t>
  </si>
  <si>
    <t>{"IBAN":"ES91","AMOUNT":"EUR 1250.55"}</t>
  </si>
  <si>
    <t>Duplication of numero_cuenta(IBAN)</t>
  </si>
  <si>
    <t>{"IBAN":"ES912100041845020005133221000418450200051332","AMOUNT":"EUR 1250.55"}</t>
  </si>
  <si>
    <t>Change 21000418450200051332 for 2100C41845020A051332</t>
  </si>
  <si>
    <t>{"IBAN":"ES912100C41845020A051332","AMOUNT":"EUR 1250.55"}</t>
  </si>
  <si>
    <t>Deletion of Moneda(Amount)</t>
  </si>
  <si>
    <t>{"IBAN":"ES9121000418450200051332","AMOUNT":" 1250.55"}</t>
  </si>
  <si>
    <t>Duplication of Moneda(Amount)</t>
  </si>
  <si>
    <t>{"IBAN":"ES9121000418450200051332","AMOUNT":"EUREUR 1250.55"}</t>
  </si>
  <si>
    <t>Change EUR for DOL</t>
  </si>
  <si>
    <t>{"IBAN":"ES9121000418450200051332","AMOUNT":"DOL 1250.55"}</t>
  </si>
  <si>
    <t>Deletion of Espacio(Amount)</t>
  </si>
  <si>
    <t>{"IBAN":"ES9121000418450200051332","AMOUNT":"EUR1250.55"}</t>
  </si>
  <si>
    <t>Duplication of Espacio(Amount)</t>
  </si>
  <si>
    <t>{"IBAN":"ES9121000418450200051332","AMOUNT":"EUR  1250.55"}</t>
  </si>
  <si>
    <t>Change ' ' for %</t>
  </si>
  <si>
    <t>{"IBAN":"ES9121000418450200051332","AMOUNT":"EUR%1250.55"}</t>
  </si>
  <si>
    <t>Deletion of Cantidad(Amount)</t>
  </si>
  <si>
    <t>{"IBAN":"ES9121000418450200051332","AMOUNT":"EUR "}</t>
  </si>
  <si>
    <t>Duplication of Cantidad(Amount)</t>
  </si>
  <si>
    <t>{"IBAN":"ES9121000418450200051332","AMOUNT":"EUR 1250.551250.55"}</t>
  </si>
  <si>
    <t>Deletion of Parte_Entera(Amount)</t>
  </si>
  <si>
    <t>{"IBAN":"ES9121000418450200051332","AMOUNT":"EUR .55"}</t>
  </si>
  <si>
    <t>Duplication of Parte_Entera(Amount)</t>
  </si>
  <si>
    <t>{"IBAN":"ES9121000418450200051332","AMOUNT":"EUR 12501250.55"}</t>
  </si>
  <si>
    <t>Change 1250 for TR32</t>
  </si>
  <si>
    <t>{"IBAN":"ES9121000418450200051332","AMOUNT":"EUR TR32.55"}</t>
  </si>
  <si>
    <t>Deletion of Punto(Amount)</t>
  </si>
  <si>
    <t>{"IBAN":"ES9121000418450200051332","AMOUNT":"EUR 125055"}</t>
  </si>
  <si>
    <t>Duplication of Punto(Amount)</t>
  </si>
  <si>
    <t>{"IBAN":"ES9121000418450200051332","AMOUNT":"EUR 1250..55"}</t>
  </si>
  <si>
    <t>Change . for /</t>
  </si>
  <si>
    <t>{"IBAN":"ES9121000418450200051332","AMOUNT":"EUR 1250/55"}</t>
  </si>
  <si>
    <t>Deletion of Parte_Decimal(Amount)</t>
  </si>
  <si>
    <t>{"IBAN":"ES9121000418450200051332","AMOUNT":"EUR 1250."}</t>
  </si>
  <si>
    <t>Duplication of Parte_Decimal(Amount)</t>
  </si>
  <si>
    <t>{"IBAN":"ES9121000418450200051332","AMOUNT":"EUR 1250.5555"}</t>
  </si>
  <si>
    <t>Change 55 for 7Y</t>
  </si>
  <si>
    <t>{"IBAN":"ES9121000418450200051332","AMOUNT":"EUR 1250.7Y"}</t>
  </si>
  <si>
    <t>CLASE</t>
  </si>
  <si>
    <t>1_2_4_6_7_8_9_11_12_13_F
y bucle 2 (entrar 1 vez)</t>
  </si>
  <si>
    <t>IBAN válido: ES8658342044541216872704, PATH a all_transactions correcto y existe una transacción asociada a ese IBAN en la única entrada del archivo</t>
  </si>
  <si>
    <t>1_2_3_F</t>
  </si>
  <si>
    <t>IBAN válido: ES6211110783482828975098, PATH a all_transactions incorrecto</t>
  </si>
  <si>
    <t>AccountManagement Exception - "Error: all_transactions file not found"</t>
  </si>
  <si>
    <t>Se debe cambiar el PATH del código e introducir uno que no exista. Se debe comprobar que no crea el fichero asociado al IBAN</t>
  </si>
  <si>
    <t>1_2_4_5_F</t>
  </si>
  <si>
    <t>IBAN válido: ES6211110783482828975098, PATH a all_transactions correcto , pero el fichero no tiene formato JSON</t>
  </si>
  <si>
    <t>AccountManagement Exception - "Error: all_transactions is not a valid JSON file"</t>
  </si>
  <si>
    <t>Se debe crear un fichero que tenga un formato distinto al del JSON. Se debe comprobar que no crea el fichero asociado al IBAN</t>
  </si>
  <si>
    <t>1_2_4_6_7_9_10_F y 
bucle 3 (entrar 2 veces)</t>
  </si>
  <si>
    <t>IBAN válido: ES5520386795111966954674, PATH a all_transactions (con dos entradas) correcto, pero no existen transacciones asociadas a ese IBAN</t>
  </si>
  <si>
    <t>AccountManagement Exception - "IBAN not found in all_transactions.json"</t>
  </si>
  <si>
    <t>Se debe cambiar el IBAN por otro que siga siendo válido pero que no esté en all_transactions.json. Se debe comprobar que no crea el fichero asociado al IBAN</t>
  </si>
  <si>
    <t>1_2_4_6_9_10_F y bucle 1 (no entrar)</t>
  </si>
  <si>
    <t>IBAN válido: ES8658342044541216872704 , PATH a all_transactions correcto pero es un fichero vacío</t>
  </si>
  <si>
    <t>Se debe crear un fichero de prueba con formato JSON que esté vacío</t>
  </si>
  <si>
    <t>1_2_4_6_7_9_10_F y 
bucle 4 (entrar max - 1 veces)</t>
  </si>
  <si>
    <t>IBAN válido: ES5520386795111966954674, PATH a all_transactions (con max - 1 entradas) correcto, pero no existen transacciones asociadas a ese IBAN</t>
  </si>
  <si>
    <t xml:space="preserve">Se debe crear un fichero de prueba con formato JSON 
que tenga max - 1 entradas y ninguna coincida 
con el IBAN válido </t>
  </si>
  <si>
    <t>1_2_4_6_7_9_10_F y 
bucle 5 (entrar max veces)</t>
  </si>
  <si>
    <t>IBAN válido: ES5520386795111966954674, PATH a all_transactions (con max entradas) correcto, pero no existen transacciones asociadas a ese IBAN</t>
  </si>
  <si>
    <t xml:space="preserve">Se debe crear un fichero de prueba con formato JSON 
que tenga max entradas y ninguna coincida 
con el IBAN válido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</si>
</sst>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.00_-;\-* #,##0.00_-;_-* &quot;-&quot;??_-;_-@"/>
    <numFmt numFmtId="166" formatCode="_-* #,##0.000_-;\-* #,##0.000_-;_-* &quot;-&quot;??.0_-;_-@"/>
  </numFmts>
  <fonts count="16">
    <font>
      <sz val="12.0"/>
      <color theme="1"/>
      <name val="Arial"/>
      <scheme val="minor"/>
    </font>
    <font>
      <b/>
      <sz val="12.0"/>
      <color rgb="FFFFFFFF"/>
      <name val="Calibri"/>
    </font>
    <font>
      <b/>
      <sz val="11.0"/>
      <color theme="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b/>
      <sz val="9.0"/>
      <color rgb="FFFFFFFF"/>
      <name val="Arial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rgb="FF067D17"/>
      <name val="JetBrains Mono"/>
    </font>
    <font>
      <sz val="12.0"/>
      <color rgb="FFFF0000"/>
      <name val="JetBrains Mono"/>
    </font>
    <font>
      <color theme="1"/>
      <name val="Arial"/>
      <scheme val="minor"/>
    </font>
    <font>
      <b/>
      <sz val="12.0"/>
      <color theme="0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0" fillId="0" fontId="3" numFmtId="0" xfId="0" applyFont="1"/>
    <xf borderId="5" fillId="2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2" fillId="2" fontId="3" numFmtId="0" xfId="0" applyBorder="1" applyFont="1"/>
    <xf borderId="4" fillId="2" fontId="3" numFmtId="0" xfId="0" applyBorder="1" applyFont="1"/>
    <xf borderId="2" fillId="2" fontId="3" numFmtId="0" xfId="0" applyAlignment="1" applyBorder="1" applyFont="1">
      <alignment readingOrder="0" shrinkToFit="0" wrapText="1"/>
    </xf>
    <xf borderId="3" fillId="2" fontId="3" numFmtId="0" xfId="0" applyAlignment="1" applyBorder="1" applyFont="1">
      <alignment readingOrder="0"/>
    </xf>
    <xf borderId="2" fillId="2" fontId="3" numFmtId="0" xfId="0" applyAlignment="1" applyBorder="1" applyFont="1">
      <alignment shrinkToFit="0" wrapText="1"/>
    </xf>
    <xf borderId="3" fillId="2" fontId="3" numFmtId="0" xfId="0" applyBorder="1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7" fillId="2" fontId="8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center" readingOrder="0" vertical="center"/>
    </xf>
    <xf borderId="7" fillId="2" fontId="9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7" fillId="2" fontId="9" numFmtId="0" xfId="0" applyAlignment="1" applyBorder="1" applyFont="1">
      <alignment horizontal="left" readingOrder="0" vertical="center"/>
    </xf>
    <xf borderId="7" fillId="2" fontId="11" numFmtId="1" xfId="0" applyAlignment="1" applyBorder="1" applyFont="1" applyNumberFormat="1">
      <alignment horizontal="left" vertical="center"/>
    </xf>
    <xf borderId="7" fillId="2" fontId="11" numFmtId="0" xfId="0" applyAlignment="1" applyBorder="1" applyFont="1">
      <alignment horizontal="left" vertical="center"/>
    </xf>
    <xf borderId="7" fillId="2" fontId="11" numFmtId="0" xfId="0" applyAlignment="1" applyBorder="1" applyFont="1">
      <alignment horizontal="left" readingOrder="0" vertical="center"/>
    </xf>
    <xf borderId="7" fillId="2" fontId="11" numFmtId="164" xfId="0" applyAlignment="1" applyBorder="1" applyFont="1" applyNumberFormat="1">
      <alignment horizontal="left" readingOrder="0" vertical="center"/>
    </xf>
    <xf borderId="7" fillId="2" fontId="11" numFmtId="165" xfId="0" applyAlignment="1" applyBorder="1" applyFont="1" applyNumberFormat="1">
      <alignment horizontal="left" readingOrder="0" vertical="center"/>
    </xf>
    <xf borderId="7" fillId="2" fontId="11" numFmtId="0" xfId="0" applyAlignment="1" applyBorder="1" applyFont="1">
      <alignment horizontal="left" readingOrder="0" shrinkToFit="0" vertical="center" wrapText="1"/>
    </xf>
    <xf borderId="7" fillId="2" fontId="8" numFmtId="0" xfId="0" applyAlignment="1" applyBorder="1" applyFont="1">
      <alignment horizontal="left" readingOrder="0" shrinkToFit="0" vertical="center" wrapText="1"/>
    </xf>
    <xf borderId="7" fillId="2" fontId="9" numFmtId="0" xfId="0" applyAlignment="1" applyBorder="1" applyFont="1">
      <alignment horizontal="left" vertical="center"/>
    </xf>
    <xf borderId="7" fillId="2" fontId="12" numFmtId="1" xfId="0" applyAlignment="1" applyBorder="1" applyFont="1" applyNumberFormat="1">
      <alignment horizontal="left" vertical="center"/>
    </xf>
    <xf borderId="7" fillId="2" fontId="8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left" vertical="center"/>
    </xf>
    <xf borderId="7" fillId="2" fontId="8" numFmtId="0" xfId="0" applyAlignment="1" applyBorder="1" applyFont="1">
      <alignment horizontal="center"/>
    </xf>
    <xf borderId="7" fillId="2" fontId="12" numFmtId="1" xfId="0" applyAlignment="1" applyBorder="1" applyFont="1" applyNumberFormat="1">
      <alignment horizontal="left" readingOrder="0" vertical="center"/>
    </xf>
    <xf borderId="7" fillId="2" fontId="11" numFmtId="0" xfId="0" applyAlignment="1" applyBorder="1" applyFont="1">
      <alignment readingOrder="0"/>
    </xf>
    <xf borderId="7" fillId="2" fontId="8" numFmtId="0" xfId="0" applyAlignment="1" applyBorder="1" applyFont="1">
      <alignment readingOrder="0"/>
    </xf>
    <xf borderId="7" fillId="2" fontId="8" numFmtId="0" xfId="0" applyAlignment="1" applyBorder="1" applyFont="1">
      <alignment horizontal="center" readingOrder="0"/>
    </xf>
    <xf borderId="7" fillId="2" fontId="12" numFmtId="0" xfId="0" applyAlignment="1" applyBorder="1" applyFont="1">
      <alignment horizontal="left" readingOrder="0" vertical="center"/>
    </xf>
    <xf borderId="7" fillId="2" fontId="8" numFmtId="0" xfId="0" applyAlignment="1" applyBorder="1" applyFont="1">
      <alignment horizontal="left" readingOrder="0"/>
    </xf>
    <xf borderId="7" fillId="2" fontId="8" numFmtId="0" xfId="0" applyAlignment="1" applyBorder="1" applyFont="1">
      <alignment horizontal="center" readingOrder="0" vertical="center"/>
    </xf>
    <xf borderId="7" fillId="2" fontId="12" numFmtId="164" xfId="0" applyAlignment="1" applyBorder="1" applyFont="1" applyNumberFormat="1">
      <alignment horizontal="left" readingOrder="0" vertical="center"/>
    </xf>
    <xf borderId="7" fillId="2" fontId="12" numFmtId="165" xfId="0" applyAlignment="1" applyBorder="1" applyFont="1" applyNumberFormat="1">
      <alignment horizontal="right" readingOrder="0" vertical="center"/>
    </xf>
    <xf borderId="7" fillId="2" fontId="10" numFmtId="0" xfId="0" applyAlignment="1" applyBorder="1" applyFont="1">
      <alignment horizontal="center" readingOrder="0" vertical="center"/>
    </xf>
    <xf borderId="7" fillId="2" fontId="12" numFmtId="166" xfId="0" applyAlignment="1" applyBorder="1" applyFont="1" applyNumberFormat="1">
      <alignment horizontal="right" readingOrder="0" vertical="center"/>
    </xf>
    <xf borderId="0" fillId="4" fontId="13" numFmtId="0" xfId="0" applyFill="1" applyFont="1"/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4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0" fontId="8" numFmtId="2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8" numFmtId="0" xfId="0" applyFont="1"/>
    <xf borderId="0" fillId="2" fontId="8" numFmtId="0" xfId="0" applyFont="1"/>
    <xf borderId="0" fillId="2" fontId="15" numFmtId="0" xfId="0" applyAlignment="1" applyFont="1">
      <alignment readingOrder="0"/>
    </xf>
    <xf borderId="0" fillId="2" fontId="8" numFmtId="0" xfId="0" applyAlignment="1" applyFont="1">
      <alignment horizontal="center" readingOrder="0"/>
    </xf>
    <xf borderId="0" fillId="2" fontId="8" numFmtId="0" xfId="0" applyAlignment="1" applyFont="1">
      <alignment readingOrder="0"/>
    </xf>
    <xf borderId="0" fillId="2" fontId="13" numFmtId="0" xfId="0" applyFont="1"/>
    <xf borderId="0" fillId="2" fontId="15" numFmtId="2" xfId="0" applyAlignment="1" applyFont="1" applyNumberFormat="1">
      <alignment readingOrder="0"/>
    </xf>
    <xf borderId="0" fillId="2" fontId="8" numFmtId="0" xfId="0" applyAlignment="1" applyFont="1">
      <alignment readingOrder="0" shrinkToFit="0" wrapText="1"/>
    </xf>
    <xf borderId="0" fillId="5" fontId="8" numFmtId="0" xfId="0" applyFill="1" applyFont="1"/>
    <xf borderId="0" fillId="5" fontId="13" numFmtId="0" xfId="0" applyFont="1"/>
    <xf borderId="0" fillId="5" fontId="3" numFmtId="0" xfId="0" applyAlignment="1" applyFont="1">
      <alignment horizontal="center"/>
    </xf>
    <xf borderId="0" fillId="5" fontId="8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GE2 20245 F1 CEVL-style">
      <tableStyleElement dxfId="1" type="headerRow"/>
      <tableStyleElement dxfId="2" type="firstRowStripe"/>
      <tableStyleElement dxfId="2" type="secondRowStripe"/>
    </tableStyle>
    <tableStyle count="3" pivot="0" name="GE2 2024 F1-style">
      <tableStyleElement dxfId="1" type="headerRow"/>
      <tableStyleElement dxfId="2" type="firstRowStripe"/>
      <tableStyleElement dxfId="2" type="secondRowStripe"/>
    </tableStyle>
    <tableStyle count="3" pivot="0" name="GE2 2024 F2-style">
      <tableStyleElement dxfId="1" type="headerRow"/>
      <tableStyleElement dxfId="2" type="firstRowStripe"/>
      <tableStyleElement dxfId="2" type="secondRowStripe"/>
    </tableStyle>
    <tableStyle count="3" pivot="0" name="GE2 2024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0</xdr:row>
      <xdr:rowOff>0</xdr:rowOff>
    </xdr:from>
    <xdr:ext cx="7058025" cy="13335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50" displayName="Table_1" name="Table_1" id="1">
  <tableColumns count="4">
    <tableColumn name="VARIABLE" id="1"/>
    <tableColumn name="CRITERIO" id="2"/>
    <tableColumn name="CLASES VÁLIDAS" id="3"/>
    <tableColumn name="CLASES NO VALIDAS" id="4"/>
  </tableColumns>
  <tableStyleInfo name="GE2 20245 F1 CEVL-style" showColumnStripes="0" showFirstColumn="1" showLastColumn="1" showRowStripes="1"/>
</table>
</file>

<file path=xl/tables/table2.xml><?xml version="1.0" encoding="utf-8"?>
<table xmlns="http://schemas.openxmlformats.org/spreadsheetml/2006/main" ref="A1:N43" displayName="Table_2" name="Table_2" id="2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FROM_IBAN" id="7"/>
    <tableColumn name="TO_IBAN" id="8"/>
    <tableColumn name="CONCEPT" id="9"/>
    <tableColumn name="TYPE" id="10"/>
    <tableColumn name="DATE" id="11"/>
    <tableColumn name="AMOUNT" id="12"/>
    <tableColumn name="RESULT" id="13"/>
    <tableColumn name="CES, VL CUBIERTOS" id="14"/>
  </tableColumns>
  <tableStyleInfo name="GE2 2024 F1-style" showColumnStripes="0" showFirstColumn="1" showLastColumn="1" showRowStripes="1"/>
</table>
</file>

<file path=xl/tables/table3.xml><?xml version="1.0" encoding="utf-8"?>
<table xmlns="http://schemas.openxmlformats.org/spreadsheetml/2006/main" ref="A1:J44" displayName="Table_3" name="Table_3" id="3">
  <tableColumns count="10">
    <tableColumn name="#" id="1"/>
    <tableColumn name="NODO" id="2"/>
    <tableColumn name="TERMINAL  (T) / _x000a_NO TERMINAL (NT)" id="3"/>
    <tableColumn name="TIPO_x000a_(DUPLICATION / DELETION / MODIFICATION / VALID)" id="4"/>
    <tableColumn name="ID TEST" id="5"/>
    <tableColumn name="DESCRIPCIÓN" id="6"/>
    <tableColumn name="RUTA" id="7"/>
    <tableColumn name="CONTENIDO FICHERO" id="8"/>
    <tableColumn name="RESULTADO ESPERADO" id="9"/>
    <tableColumn name="OBSERVACIONES" id="10"/>
  </tableColumns>
  <tableStyleInfo name="GE2 2024 F2-style" showColumnStripes="0" showFirstColumn="1" showLastColumn="1" showRowStripes="1"/>
</table>
</file>

<file path=xl/tables/table4.xml><?xml version="1.0" encoding="utf-8"?>
<table xmlns="http://schemas.openxmlformats.org/spreadsheetml/2006/main" ref="A1:G43" displayName="Table_4" name="Table_4" id="4">
  <tableColumns count="7">
    <tableColumn name="#" id="1"/>
    <tableColumn name="RUTA" id="2"/>
    <tableColumn name="ID TEST" id="3"/>
    <tableColumn name="DESCRIPCIÓN" id="4"/>
    <tableColumn name="CLASE" id="5"/>
    <tableColumn name="RESULTADO ESPERADO" id="6"/>
    <tableColumn name="OBSERVACIONES" id="7"/>
  </tableColumns>
  <tableStyleInfo name="GE2 2024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2.9"/>
    <col customWidth="1" min="2" max="2" width="39.7"/>
    <col customWidth="1" min="3" max="3" width="50.2"/>
    <col customWidth="1" min="4" max="4" width="55.6"/>
    <col customWidth="1" min="5" max="26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  <c r="C2" s="4" t="s">
        <v>6</v>
      </c>
      <c r="D2" s="5" t="s">
        <v>7</v>
      </c>
    </row>
    <row r="3">
      <c r="A3" s="6"/>
      <c r="B3" s="4" t="s">
        <v>8</v>
      </c>
      <c r="C3" s="4" t="s">
        <v>9</v>
      </c>
      <c r="D3" s="5" t="s">
        <v>10</v>
      </c>
      <c r="E3" s="7"/>
    </row>
    <row r="4">
      <c r="A4" s="6"/>
      <c r="B4" s="4" t="s">
        <v>11</v>
      </c>
      <c r="C4" s="4" t="s">
        <v>12</v>
      </c>
      <c r="D4" s="4" t="s">
        <v>13</v>
      </c>
    </row>
    <row r="5">
      <c r="A5" s="6"/>
      <c r="B5" s="4"/>
      <c r="C5" s="4"/>
      <c r="D5" s="4" t="s">
        <v>14</v>
      </c>
    </row>
    <row r="6">
      <c r="A6" s="6"/>
      <c r="B6" s="4"/>
      <c r="C6" s="4" t="s">
        <v>15</v>
      </c>
      <c r="D6" s="5" t="s">
        <v>16</v>
      </c>
    </row>
    <row r="7">
      <c r="A7" s="8"/>
      <c r="B7" s="4"/>
      <c r="C7" s="4"/>
      <c r="D7" s="5" t="s">
        <v>17</v>
      </c>
    </row>
    <row r="8">
      <c r="A8" s="6"/>
      <c r="B8" s="4" t="s">
        <v>18</v>
      </c>
      <c r="C8" s="4" t="s">
        <v>19</v>
      </c>
      <c r="D8" s="5" t="s">
        <v>20</v>
      </c>
    </row>
    <row r="9">
      <c r="A9" s="9" t="s">
        <v>21</v>
      </c>
      <c r="B9" s="10" t="s">
        <v>5</v>
      </c>
      <c r="C9" s="11" t="s">
        <v>22</v>
      </c>
      <c r="D9" s="12" t="s">
        <v>23</v>
      </c>
    </row>
    <row r="10">
      <c r="A10" s="9"/>
      <c r="B10" s="10" t="s">
        <v>8</v>
      </c>
      <c r="C10" s="11" t="s">
        <v>24</v>
      </c>
      <c r="D10" s="12" t="s">
        <v>25</v>
      </c>
    </row>
    <row r="11">
      <c r="A11" s="9"/>
      <c r="B11" s="10" t="s">
        <v>11</v>
      </c>
      <c r="C11" s="11" t="s">
        <v>26</v>
      </c>
      <c r="D11" s="11" t="s">
        <v>27</v>
      </c>
    </row>
    <row r="12">
      <c r="A12" s="9"/>
      <c r="B12" s="10"/>
      <c r="C12" s="10"/>
      <c r="D12" s="11" t="s">
        <v>28</v>
      </c>
    </row>
    <row r="13">
      <c r="A13" s="9"/>
      <c r="B13" s="10"/>
      <c r="C13" s="11" t="s">
        <v>29</v>
      </c>
      <c r="D13" s="12" t="s">
        <v>30</v>
      </c>
    </row>
    <row r="14">
      <c r="A14" s="9"/>
      <c r="B14" s="10"/>
      <c r="C14" s="10"/>
      <c r="D14" s="12" t="s">
        <v>31</v>
      </c>
    </row>
    <row r="15">
      <c r="A15" s="9"/>
      <c r="B15" s="10" t="s">
        <v>18</v>
      </c>
      <c r="C15" s="11" t="s">
        <v>32</v>
      </c>
      <c r="D15" s="12" t="s">
        <v>33</v>
      </c>
    </row>
    <row r="16">
      <c r="A16" s="9"/>
      <c r="B16" s="11" t="s">
        <v>34</v>
      </c>
      <c r="C16" s="11" t="s">
        <v>35</v>
      </c>
      <c r="D16" s="12" t="s">
        <v>36</v>
      </c>
    </row>
    <row r="17">
      <c r="A17" s="13" t="s">
        <v>37</v>
      </c>
      <c r="B17" s="14" t="s">
        <v>5</v>
      </c>
      <c r="C17" s="14" t="s">
        <v>38</v>
      </c>
      <c r="D17" s="15" t="s">
        <v>39</v>
      </c>
    </row>
    <row r="18">
      <c r="A18" s="16"/>
      <c r="B18" s="17" t="s">
        <v>40</v>
      </c>
      <c r="C18" s="18" t="s">
        <v>41</v>
      </c>
      <c r="D18" s="19" t="s">
        <v>42</v>
      </c>
    </row>
    <row r="19">
      <c r="A19" s="16"/>
      <c r="B19" s="20"/>
      <c r="C19" s="18" t="s">
        <v>43</v>
      </c>
      <c r="D19" s="19" t="s">
        <v>44</v>
      </c>
    </row>
    <row r="20">
      <c r="A20" s="21"/>
      <c r="B20" s="21"/>
      <c r="C20" s="21" t="s">
        <v>45</v>
      </c>
      <c r="D20" s="18" t="s">
        <v>46</v>
      </c>
    </row>
    <row r="21" ht="15.75" customHeight="1">
      <c r="A21" s="16"/>
      <c r="B21" s="21"/>
      <c r="C21" s="18" t="s">
        <v>47</v>
      </c>
      <c r="D21" s="18" t="s">
        <v>48</v>
      </c>
    </row>
    <row r="22" ht="15.75" customHeight="1">
      <c r="A22" s="16"/>
      <c r="B22" s="21"/>
      <c r="C22" s="18" t="s">
        <v>49</v>
      </c>
      <c r="D22" s="18" t="s">
        <v>50</v>
      </c>
    </row>
    <row r="23" ht="15.75" customHeight="1">
      <c r="A23" s="16"/>
      <c r="B23" s="18" t="s">
        <v>51</v>
      </c>
      <c r="C23" s="18" t="s">
        <v>52</v>
      </c>
      <c r="D23" s="21" t="s">
        <v>53</v>
      </c>
    </row>
    <row r="24" ht="15.75" customHeight="1">
      <c r="A24" s="21"/>
      <c r="B24" s="21"/>
      <c r="C24" s="18" t="s">
        <v>54</v>
      </c>
      <c r="D24" s="21"/>
    </row>
    <row r="25" ht="15.75" customHeight="1">
      <c r="A25" s="21"/>
      <c r="B25" s="21"/>
      <c r="C25" s="18" t="s">
        <v>55</v>
      </c>
      <c r="D25" s="21"/>
    </row>
    <row r="26" ht="15.75" customHeight="1">
      <c r="A26" s="21"/>
      <c r="B26" s="21" t="s">
        <v>56</v>
      </c>
      <c r="C26" s="18" t="s">
        <v>57</v>
      </c>
      <c r="D26" s="21" t="s">
        <v>58</v>
      </c>
    </row>
    <row r="27" ht="15.75" customHeight="1">
      <c r="A27" s="22" t="s">
        <v>59</v>
      </c>
      <c r="B27" s="22" t="s">
        <v>5</v>
      </c>
      <c r="C27" s="23" t="s">
        <v>60</v>
      </c>
      <c r="D27" s="23" t="s">
        <v>61</v>
      </c>
    </row>
    <row r="28" ht="15.75" customHeight="1">
      <c r="A28" s="22"/>
      <c r="B28" s="22" t="s">
        <v>62</v>
      </c>
      <c r="C28" s="23" t="s">
        <v>63</v>
      </c>
      <c r="D28" s="23" t="s">
        <v>64</v>
      </c>
    </row>
    <row r="29" ht="15.75" customHeight="1">
      <c r="A29" s="22"/>
      <c r="B29" s="22"/>
      <c r="C29" s="23" t="s">
        <v>65</v>
      </c>
      <c r="D29" s="22"/>
    </row>
    <row r="30" ht="15.75" customHeight="1">
      <c r="A30" s="22"/>
      <c r="B30" s="22"/>
      <c r="C30" s="23" t="s">
        <v>66</v>
      </c>
      <c r="D30" s="24"/>
    </row>
    <row r="31" ht="15.75" customHeight="1">
      <c r="A31" s="13" t="s">
        <v>67</v>
      </c>
      <c r="B31" s="18" t="s">
        <v>5</v>
      </c>
      <c r="C31" s="18" t="s">
        <v>68</v>
      </c>
      <c r="D31" s="19" t="s">
        <v>69</v>
      </c>
    </row>
    <row r="32" ht="15.75" customHeight="1">
      <c r="A32" s="25"/>
      <c r="B32" s="14" t="s">
        <v>70</v>
      </c>
      <c r="C32" s="18" t="s">
        <v>71</v>
      </c>
      <c r="D32" s="15" t="s">
        <v>72</v>
      </c>
    </row>
    <row r="33" ht="15.75" customHeight="1">
      <c r="A33" s="25"/>
      <c r="B33" s="14" t="s">
        <v>73</v>
      </c>
      <c r="C33" s="14" t="s">
        <v>74</v>
      </c>
      <c r="D33" s="15" t="s">
        <v>75</v>
      </c>
    </row>
    <row r="34" ht="15.75" customHeight="1">
      <c r="A34" s="25"/>
      <c r="B34" s="26"/>
      <c r="C34" s="14" t="s">
        <v>76</v>
      </c>
      <c r="D34" s="15" t="s">
        <v>77</v>
      </c>
    </row>
    <row r="35" ht="15.75" customHeight="1">
      <c r="A35" s="25"/>
      <c r="B35" s="26"/>
      <c r="C35" s="14" t="s">
        <v>78</v>
      </c>
      <c r="D35" s="27"/>
    </row>
    <row r="36" ht="15.75" customHeight="1">
      <c r="A36" s="23" t="s">
        <v>79</v>
      </c>
      <c r="B36" s="23" t="s">
        <v>5</v>
      </c>
      <c r="C36" s="23" t="s">
        <v>80</v>
      </c>
      <c r="D36" s="23" t="s">
        <v>81</v>
      </c>
    </row>
    <row r="37" ht="15.75" customHeight="1">
      <c r="A37" s="22"/>
      <c r="B37" s="22"/>
      <c r="C37" s="22"/>
      <c r="D37" s="23" t="s">
        <v>82</v>
      </c>
    </row>
    <row r="38" ht="15.75" customHeight="1">
      <c r="A38" s="23"/>
      <c r="B38" s="23" t="s">
        <v>83</v>
      </c>
      <c r="C38" s="23" t="s">
        <v>84</v>
      </c>
      <c r="D38" s="23" t="s">
        <v>85</v>
      </c>
    </row>
    <row r="39" ht="15.75" customHeight="1">
      <c r="A39" s="22"/>
      <c r="B39" s="23" t="s">
        <v>86</v>
      </c>
      <c r="C39" s="23" t="s">
        <v>87</v>
      </c>
      <c r="D39" s="23" t="s">
        <v>88</v>
      </c>
    </row>
    <row r="40" ht="15.75" customHeight="1">
      <c r="A40" s="22"/>
      <c r="B40" s="22"/>
      <c r="C40" s="23"/>
      <c r="D40" s="28" t="s">
        <v>89</v>
      </c>
    </row>
    <row r="41" ht="15.75" customHeight="1">
      <c r="A41" s="22"/>
      <c r="B41" s="22"/>
      <c r="C41" s="22"/>
      <c r="D41" s="28" t="s">
        <v>90</v>
      </c>
    </row>
    <row r="42" ht="15.75" customHeight="1">
      <c r="A42" s="22"/>
      <c r="B42" s="22"/>
      <c r="C42" s="22"/>
      <c r="D42" s="23" t="s">
        <v>91</v>
      </c>
    </row>
    <row r="43" ht="15.75" customHeight="1">
      <c r="A43" s="22"/>
      <c r="B43" s="23" t="s">
        <v>92</v>
      </c>
      <c r="C43" s="23" t="s">
        <v>93</v>
      </c>
      <c r="D43" s="28" t="s">
        <v>94</v>
      </c>
    </row>
    <row r="44" ht="15.75" customHeight="1">
      <c r="A44" s="22"/>
      <c r="B44" s="22"/>
      <c r="C44" s="23" t="s">
        <v>95</v>
      </c>
      <c r="D44" s="28" t="s">
        <v>96</v>
      </c>
    </row>
    <row r="45" ht="15.75" customHeight="1">
      <c r="A45" s="22"/>
      <c r="B45" s="22"/>
      <c r="C45" s="23" t="s">
        <v>97</v>
      </c>
      <c r="D45" s="28" t="s">
        <v>98</v>
      </c>
    </row>
    <row r="46" ht="15.75" customHeight="1">
      <c r="A46" s="22"/>
      <c r="B46" s="22"/>
      <c r="C46" s="23" t="s">
        <v>99</v>
      </c>
      <c r="D46" s="28" t="s">
        <v>100</v>
      </c>
    </row>
    <row r="47" ht="15.75" customHeight="1">
      <c r="A47" s="22"/>
      <c r="B47" s="22"/>
      <c r="C47" s="23" t="s">
        <v>101</v>
      </c>
      <c r="D47" s="22"/>
    </row>
    <row r="48" ht="15.75" customHeight="1">
      <c r="A48" s="29" t="s">
        <v>102</v>
      </c>
      <c r="B48" s="30"/>
      <c r="C48" s="14" t="s">
        <v>103</v>
      </c>
      <c r="D48" s="15" t="s">
        <v>104</v>
      </c>
    </row>
    <row r="49" ht="15.75" customHeight="1">
      <c r="A49" s="31"/>
      <c r="B49" s="30"/>
      <c r="C49" s="32" t="s">
        <v>105</v>
      </c>
      <c r="D49" s="33" t="s">
        <v>106</v>
      </c>
    </row>
    <row r="50" ht="15.75" customHeight="1">
      <c r="A50" s="31"/>
      <c r="B50" s="30"/>
      <c r="C50" s="34"/>
      <c r="D50" s="3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6"/>
    <col customWidth="1" min="3" max="3" width="9.9"/>
    <col customWidth="1" min="4" max="4" width="12.6"/>
    <col customWidth="1" min="5" max="5" width="6.7"/>
    <col customWidth="1" min="6" max="6" width="43.6"/>
    <col customWidth="1" min="7" max="7" width="27.7"/>
    <col customWidth="1" min="8" max="8" width="26.6"/>
    <col customWidth="1" min="9" max="9" width="30.6"/>
    <col customWidth="1" min="10" max="10" width="14.1"/>
    <col customWidth="1" min="11" max="11" width="14.2"/>
    <col customWidth="1" min="12" max="12" width="13.2"/>
    <col customWidth="1" min="13" max="13" width="53.4"/>
    <col customWidth="1" min="14" max="14" width="49.2"/>
    <col customWidth="1" min="15" max="30" width="10.6"/>
  </cols>
  <sheetData>
    <row r="1" ht="15.75" customHeight="1">
      <c r="A1" s="36" t="s">
        <v>107</v>
      </c>
      <c r="B1" s="36" t="s">
        <v>108</v>
      </c>
      <c r="C1" s="36" t="s">
        <v>109</v>
      </c>
      <c r="D1" s="36" t="s">
        <v>110</v>
      </c>
      <c r="E1" s="36" t="s">
        <v>111</v>
      </c>
      <c r="F1" s="36" t="s">
        <v>112</v>
      </c>
      <c r="G1" s="37" t="s">
        <v>4</v>
      </c>
      <c r="H1" s="36" t="s">
        <v>21</v>
      </c>
      <c r="I1" s="36" t="s">
        <v>37</v>
      </c>
      <c r="J1" s="36" t="s">
        <v>59</v>
      </c>
      <c r="K1" s="36" t="s">
        <v>67</v>
      </c>
      <c r="L1" s="36" t="s">
        <v>79</v>
      </c>
      <c r="M1" s="36" t="s">
        <v>113</v>
      </c>
      <c r="N1" s="1" t="s">
        <v>114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>
      <c r="A2" s="39">
        <v>1.0</v>
      </c>
      <c r="B2" s="40" t="s">
        <v>115</v>
      </c>
      <c r="C2" s="41" t="s">
        <v>116</v>
      </c>
      <c r="D2" s="41" t="s">
        <v>117</v>
      </c>
      <c r="E2" s="42" t="s">
        <v>118</v>
      </c>
      <c r="F2" s="43" t="s">
        <v>119</v>
      </c>
      <c r="G2" s="44" t="s">
        <v>120</v>
      </c>
      <c r="H2" s="45" t="s">
        <v>121</v>
      </c>
      <c r="I2" s="46" t="s">
        <v>122</v>
      </c>
      <c r="J2" s="45" t="s">
        <v>123</v>
      </c>
      <c r="K2" s="47">
        <v>45474.0</v>
      </c>
      <c r="L2" s="48">
        <v>10.0</v>
      </c>
      <c r="M2" s="49" t="s">
        <v>124</v>
      </c>
      <c r="N2" s="50" t="s">
        <v>125</v>
      </c>
    </row>
    <row r="3" ht="15.75" customHeight="1">
      <c r="A3" s="39">
        <v>2.0</v>
      </c>
      <c r="B3" s="41" t="s">
        <v>126</v>
      </c>
      <c r="C3" s="41" t="s">
        <v>116</v>
      </c>
      <c r="D3" s="41" t="s">
        <v>127</v>
      </c>
      <c r="E3" s="42" t="s">
        <v>128</v>
      </c>
      <c r="F3" s="51" t="s">
        <v>129</v>
      </c>
      <c r="G3" s="52" t="s">
        <v>130</v>
      </c>
      <c r="H3" s="45" t="s">
        <v>121</v>
      </c>
      <c r="I3" s="46" t="s">
        <v>122</v>
      </c>
      <c r="J3" s="45" t="s">
        <v>123</v>
      </c>
      <c r="K3" s="47">
        <v>45474.0</v>
      </c>
      <c r="L3" s="48">
        <v>10.0</v>
      </c>
      <c r="M3" s="46" t="s">
        <v>131</v>
      </c>
      <c r="N3" s="53" t="s">
        <v>132</v>
      </c>
    </row>
    <row r="4" ht="15.75" customHeight="1">
      <c r="A4" s="39">
        <v>3.0</v>
      </c>
      <c r="B4" s="41" t="s">
        <v>126</v>
      </c>
      <c r="C4" s="41" t="s">
        <v>116</v>
      </c>
      <c r="D4" s="41" t="s">
        <v>127</v>
      </c>
      <c r="E4" s="42" t="s">
        <v>133</v>
      </c>
      <c r="F4" s="51" t="s">
        <v>134</v>
      </c>
      <c r="G4" s="52" t="s">
        <v>135</v>
      </c>
      <c r="H4" s="45" t="s">
        <v>121</v>
      </c>
      <c r="I4" s="46" t="s">
        <v>122</v>
      </c>
      <c r="J4" s="45" t="s">
        <v>123</v>
      </c>
      <c r="K4" s="47">
        <v>45474.0</v>
      </c>
      <c r="L4" s="48">
        <v>10.0</v>
      </c>
      <c r="M4" s="45" t="s">
        <v>136</v>
      </c>
      <c r="N4" s="54" t="s">
        <v>137</v>
      </c>
    </row>
    <row r="5" ht="15.75" customHeight="1">
      <c r="A5" s="39">
        <v>4.0</v>
      </c>
      <c r="B5" s="41" t="s">
        <v>126</v>
      </c>
      <c r="C5" s="41" t="s">
        <v>116</v>
      </c>
      <c r="D5" s="41" t="s">
        <v>127</v>
      </c>
      <c r="E5" s="42" t="s">
        <v>138</v>
      </c>
      <c r="F5" s="51" t="s">
        <v>139</v>
      </c>
      <c r="G5" s="52" t="s">
        <v>140</v>
      </c>
      <c r="H5" s="45" t="s">
        <v>121</v>
      </c>
      <c r="I5" s="46" t="s">
        <v>122</v>
      </c>
      <c r="J5" s="45" t="s">
        <v>123</v>
      </c>
      <c r="K5" s="47">
        <v>45474.0</v>
      </c>
      <c r="L5" s="48">
        <v>10.0</v>
      </c>
      <c r="M5" s="46" t="s">
        <v>141</v>
      </c>
      <c r="N5" s="54" t="s">
        <v>142</v>
      </c>
    </row>
    <row r="6" ht="15.75" customHeight="1">
      <c r="A6" s="39">
        <v>5.0</v>
      </c>
      <c r="B6" s="41" t="s">
        <v>126</v>
      </c>
      <c r="C6" s="41" t="s">
        <v>116</v>
      </c>
      <c r="D6" s="41" t="s">
        <v>127</v>
      </c>
      <c r="E6" s="42" t="s">
        <v>143</v>
      </c>
      <c r="F6" s="51" t="s">
        <v>144</v>
      </c>
      <c r="G6" s="52" t="s">
        <v>145</v>
      </c>
      <c r="H6" s="45" t="s">
        <v>121</v>
      </c>
      <c r="I6" s="46" t="s">
        <v>122</v>
      </c>
      <c r="J6" s="45" t="s">
        <v>123</v>
      </c>
      <c r="K6" s="47">
        <v>45474.0</v>
      </c>
      <c r="L6" s="48">
        <v>10.0</v>
      </c>
      <c r="M6" s="46" t="s">
        <v>141</v>
      </c>
      <c r="N6" s="54" t="s">
        <v>146</v>
      </c>
    </row>
    <row r="7" ht="15.75" customHeight="1">
      <c r="A7" s="39">
        <v>6.0</v>
      </c>
      <c r="B7" s="41" t="s">
        <v>126</v>
      </c>
      <c r="C7" s="41" t="s">
        <v>116</v>
      </c>
      <c r="D7" s="41" t="s">
        <v>127</v>
      </c>
      <c r="E7" s="42" t="s">
        <v>147</v>
      </c>
      <c r="F7" s="51" t="s">
        <v>148</v>
      </c>
      <c r="G7" s="52" t="s">
        <v>149</v>
      </c>
      <c r="H7" s="45" t="s">
        <v>121</v>
      </c>
      <c r="I7" s="46" t="s">
        <v>122</v>
      </c>
      <c r="J7" s="45" t="s">
        <v>123</v>
      </c>
      <c r="K7" s="47">
        <v>45474.0</v>
      </c>
      <c r="L7" s="48">
        <v>10.0</v>
      </c>
      <c r="M7" s="46" t="s">
        <v>150</v>
      </c>
      <c r="N7" s="54" t="s">
        <v>151</v>
      </c>
    </row>
    <row r="8" ht="15.75" customHeight="1">
      <c r="A8" s="55">
        <v>7.0</v>
      </c>
      <c r="B8" s="41" t="s">
        <v>126</v>
      </c>
      <c r="C8" s="41" t="s">
        <v>116</v>
      </c>
      <c r="D8" s="41" t="s">
        <v>127</v>
      </c>
      <c r="E8" s="42" t="s">
        <v>152</v>
      </c>
      <c r="F8" s="43" t="s">
        <v>153</v>
      </c>
      <c r="G8" s="44" t="s">
        <v>120</v>
      </c>
      <c r="H8" s="52" t="s">
        <v>130</v>
      </c>
      <c r="I8" s="46" t="s">
        <v>122</v>
      </c>
      <c r="J8" s="45" t="s">
        <v>123</v>
      </c>
      <c r="K8" s="47">
        <v>45474.0</v>
      </c>
      <c r="L8" s="48">
        <v>10.0</v>
      </c>
      <c r="M8" s="46" t="s">
        <v>131</v>
      </c>
      <c r="N8" s="53" t="s">
        <v>154</v>
      </c>
    </row>
    <row r="9" ht="15.75" customHeight="1">
      <c r="A9" s="55">
        <v>8.0</v>
      </c>
      <c r="B9" s="41" t="s">
        <v>126</v>
      </c>
      <c r="C9" s="41" t="s">
        <v>116</v>
      </c>
      <c r="D9" s="41" t="s">
        <v>127</v>
      </c>
      <c r="E9" s="42" t="s">
        <v>155</v>
      </c>
      <c r="F9" s="43" t="s">
        <v>156</v>
      </c>
      <c r="G9" s="44" t="s">
        <v>120</v>
      </c>
      <c r="H9" s="52" t="s">
        <v>135</v>
      </c>
      <c r="I9" s="46" t="s">
        <v>122</v>
      </c>
      <c r="J9" s="45" t="s">
        <v>123</v>
      </c>
      <c r="K9" s="47">
        <v>45474.0</v>
      </c>
      <c r="L9" s="48">
        <v>10.0</v>
      </c>
      <c r="M9" s="45" t="s">
        <v>136</v>
      </c>
      <c r="N9" s="53" t="s">
        <v>157</v>
      </c>
    </row>
    <row r="10" ht="15.75" customHeight="1">
      <c r="A10" s="55">
        <v>9.0</v>
      </c>
      <c r="B10" s="41" t="s">
        <v>126</v>
      </c>
      <c r="C10" s="41" t="s">
        <v>116</v>
      </c>
      <c r="D10" s="41" t="s">
        <v>127</v>
      </c>
      <c r="E10" s="42" t="s">
        <v>158</v>
      </c>
      <c r="F10" s="43" t="s">
        <v>159</v>
      </c>
      <c r="G10" s="44" t="s">
        <v>120</v>
      </c>
      <c r="H10" s="52" t="s">
        <v>140</v>
      </c>
      <c r="I10" s="46" t="s">
        <v>122</v>
      </c>
      <c r="J10" s="45" t="s">
        <v>123</v>
      </c>
      <c r="K10" s="47">
        <v>45474.0</v>
      </c>
      <c r="L10" s="48">
        <v>10.0</v>
      </c>
      <c r="M10" s="46" t="s">
        <v>141</v>
      </c>
      <c r="N10" s="53" t="s">
        <v>160</v>
      </c>
    </row>
    <row r="11" ht="16.5" customHeight="1">
      <c r="A11" s="55">
        <v>10.0</v>
      </c>
      <c r="B11" s="41" t="s">
        <v>126</v>
      </c>
      <c r="C11" s="41" t="s">
        <v>116</v>
      </c>
      <c r="D11" s="41" t="s">
        <v>127</v>
      </c>
      <c r="E11" s="42" t="s">
        <v>161</v>
      </c>
      <c r="F11" s="43" t="s">
        <v>162</v>
      </c>
      <c r="G11" s="44" t="s">
        <v>120</v>
      </c>
      <c r="H11" s="52" t="s">
        <v>145</v>
      </c>
      <c r="I11" s="46" t="s">
        <v>122</v>
      </c>
      <c r="J11" s="45" t="s">
        <v>123</v>
      </c>
      <c r="K11" s="47">
        <v>45474.0</v>
      </c>
      <c r="L11" s="48">
        <v>10.0</v>
      </c>
      <c r="M11" s="46" t="s">
        <v>141</v>
      </c>
      <c r="N11" s="53" t="s">
        <v>163</v>
      </c>
    </row>
    <row r="12" ht="15.75" customHeight="1">
      <c r="A12" s="55">
        <v>11.0</v>
      </c>
      <c r="B12" s="41" t="s">
        <v>126</v>
      </c>
      <c r="C12" s="41" t="s">
        <v>116</v>
      </c>
      <c r="D12" s="41" t="s">
        <v>127</v>
      </c>
      <c r="E12" s="42" t="s">
        <v>164</v>
      </c>
      <c r="F12" s="43" t="s">
        <v>165</v>
      </c>
      <c r="G12" s="44" t="s">
        <v>120</v>
      </c>
      <c r="H12" s="52" t="s">
        <v>149</v>
      </c>
      <c r="I12" s="46" t="s">
        <v>122</v>
      </c>
      <c r="J12" s="45" t="s">
        <v>123</v>
      </c>
      <c r="K12" s="47">
        <v>45474.0</v>
      </c>
      <c r="L12" s="48">
        <v>10.0</v>
      </c>
      <c r="M12" s="46" t="s">
        <v>150</v>
      </c>
      <c r="N12" s="53" t="s">
        <v>166</v>
      </c>
    </row>
    <row r="13" ht="15.75" customHeight="1">
      <c r="A13" s="55">
        <v>12.0</v>
      </c>
      <c r="B13" s="41" t="s">
        <v>126</v>
      </c>
      <c r="C13" s="41" t="s">
        <v>116</v>
      </c>
      <c r="D13" s="41" t="s">
        <v>127</v>
      </c>
      <c r="E13" s="42" t="s">
        <v>167</v>
      </c>
      <c r="F13" s="43" t="s">
        <v>168</v>
      </c>
      <c r="G13" s="44" t="s">
        <v>120</v>
      </c>
      <c r="H13" s="56" t="s">
        <v>120</v>
      </c>
      <c r="I13" s="46" t="s">
        <v>122</v>
      </c>
      <c r="J13" s="45" t="s">
        <v>123</v>
      </c>
      <c r="K13" s="47">
        <v>45474.0</v>
      </c>
      <c r="L13" s="48">
        <v>10.0</v>
      </c>
      <c r="M13" s="57" t="s">
        <v>169</v>
      </c>
      <c r="N13" s="58" t="s">
        <v>170</v>
      </c>
    </row>
    <row r="14" ht="15.75" customHeight="1">
      <c r="A14" s="55">
        <v>13.0</v>
      </c>
      <c r="B14" s="59" t="s">
        <v>126</v>
      </c>
      <c r="C14" s="59" t="s">
        <v>171</v>
      </c>
      <c r="D14" s="59" t="s">
        <v>117</v>
      </c>
      <c r="E14" s="42" t="s">
        <v>172</v>
      </c>
      <c r="F14" s="58" t="s">
        <v>173</v>
      </c>
      <c r="G14" s="44" t="s">
        <v>120</v>
      </c>
      <c r="H14" s="45" t="s">
        <v>121</v>
      </c>
      <c r="I14" s="46" t="s">
        <v>174</v>
      </c>
      <c r="J14" s="45" t="s">
        <v>123</v>
      </c>
      <c r="K14" s="47">
        <v>45474.0</v>
      </c>
      <c r="L14" s="48">
        <v>10.0</v>
      </c>
      <c r="M14" s="49" t="s">
        <v>124</v>
      </c>
      <c r="N14" s="58" t="s">
        <v>175</v>
      </c>
    </row>
    <row r="15" ht="15.75" customHeight="1">
      <c r="A15" s="55">
        <v>14.0</v>
      </c>
      <c r="B15" s="59" t="s">
        <v>126</v>
      </c>
      <c r="C15" s="59" t="s">
        <v>171</v>
      </c>
      <c r="D15" s="59" t="s">
        <v>117</v>
      </c>
      <c r="E15" s="42" t="s">
        <v>176</v>
      </c>
      <c r="F15" s="58" t="s">
        <v>177</v>
      </c>
      <c r="G15" s="44" t="s">
        <v>120</v>
      </c>
      <c r="H15" s="45" t="s">
        <v>121</v>
      </c>
      <c r="I15" s="46" t="s">
        <v>178</v>
      </c>
      <c r="J15" s="45" t="s">
        <v>123</v>
      </c>
      <c r="K15" s="47">
        <v>45474.0</v>
      </c>
      <c r="L15" s="48">
        <v>10.0</v>
      </c>
      <c r="M15" s="49" t="s">
        <v>124</v>
      </c>
      <c r="N15" s="58" t="s">
        <v>179</v>
      </c>
    </row>
    <row r="16" ht="15.75" customHeight="1">
      <c r="A16" s="55">
        <v>15.0</v>
      </c>
      <c r="B16" s="59" t="s">
        <v>126</v>
      </c>
      <c r="C16" s="59" t="s">
        <v>171</v>
      </c>
      <c r="D16" s="59" t="s">
        <v>117</v>
      </c>
      <c r="E16" s="42" t="s">
        <v>180</v>
      </c>
      <c r="F16" s="58" t="s">
        <v>181</v>
      </c>
      <c r="G16" s="44" t="s">
        <v>120</v>
      </c>
      <c r="H16" s="45" t="s">
        <v>121</v>
      </c>
      <c r="I16" s="46" t="s">
        <v>182</v>
      </c>
      <c r="J16" s="45" t="s">
        <v>123</v>
      </c>
      <c r="K16" s="47">
        <v>45474.0</v>
      </c>
      <c r="L16" s="48">
        <v>10.0</v>
      </c>
      <c r="M16" s="49" t="s">
        <v>124</v>
      </c>
      <c r="N16" s="58" t="s">
        <v>183</v>
      </c>
    </row>
    <row r="17" ht="15.75" customHeight="1">
      <c r="A17" s="55">
        <v>16.0</v>
      </c>
      <c r="B17" s="59" t="s">
        <v>126</v>
      </c>
      <c r="C17" s="59" t="s">
        <v>116</v>
      </c>
      <c r="D17" s="59" t="s">
        <v>127</v>
      </c>
      <c r="E17" s="42" t="s">
        <v>184</v>
      </c>
      <c r="F17" s="58" t="s">
        <v>185</v>
      </c>
      <c r="G17" s="44" t="s">
        <v>120</v>
      </c>
      <c r="H17" s="45" t="s">
        <v>121</v>
      </c>
      <c r="I17" s="60" t="s">
        <v>130</v>
      </c>
      <c r="J17" s="45" t="s">
        <v>123</v>
      </c>
      <c r="K17" s="47">
        <v>45474.0</v>
      </c>
      <c r="L17" s="48">
        <v>10.0</v>
      </c>
      <c r="M17" s="57" t="s">
        <v>186</v>
      </c>
      <c r="N17" s="58" t="s">
        <v>187</v>
      </c>
    </row>
    <row r="18" ht="15.75" customHeight="1">
      <c r="A18" s="55">
        <v>17.0</v>
      </c>
      <c r="B18" s="59" t="s">
        <v>126</v>
      </c>
      <c r="C18" s="59" t="s">
        <v>116</v>
      </c>
      <c r="D18" s="59" t="s">
        <v>127</v>
      </c>
      <c r="E18" s="42" t="s">
        <v>188</v>
      </c>
      <c r="F18" s="58" t="s">
        <v>189</v>
      </c>
      <c r="G18" s="44" t="s">
        <v>120</v>
      </c>
      <c r="H18" s="45" t="s">
        <v>121</v>
      </c>
      <c r="I18" s="60" t="s">
        <v>190</v>
      </c>
      <c r="J18" s="45" t="s">
        <v>123</v>
      </c>
      <c r="K18" s="47">
        <v>45474.0</v>
      </c>
      <c r="L18" s="48">
        <v>10.0</v>
      </c>
      <c r="M18" s="57" t="s">
        <v>191</v>
      </c>
      <c r="N18" s="58" t="s">
        <v>192</v>
      </c>
    </row>
    <row r="19" ht="15.75" customHeight="1">
      <c r="A19" s="55">
        <v>18.0</v>
      </c>
      <c r="B19" s="59" t="s">
        <v>126</v>
      </c>
      <c r="C19" s="59" t="s">
        <v>116</v>
      </c>
      <c r="D19" s="59" t="s">
        <v>127</v>
      </c>
      <c r="E19" s="42" t="s">
        <v>193</v>
      </c>
      <c r="F19" s="58" t="s">
        <v>194</v>
      </c>
      <c r="G19" s="44" t="s">
        <v>120</v>
      </c>
      <c r="H19" s="45" t="s">
        <v>121</v>
      </c>
      <c r="I19" s="60" t="s">
        <v>195</v>
      </c>
      <c r="J19" s="45" t="s">
        <v>123</v>
      </c>
      <c r="K19" s="47">
        <v>45474.0</v>
      </c>
      <c r="L19" s="48">
        <v>10.0</v>
      </c>
      <c r="M19" s="57" t="s">
        <v>196</v>
      </c>
      <c r="N19" s="58" t="s">
        <v>197</v>
      </c>
    </row>
    <row r="20" ht="15.75" customHeight="1">
      <c r="A20" s="55">
        <v>19.0</v>
      </c>
      <c r="B20" s="59" t="s">
        <v>126</v>
      </c>
      <c r="C20" s="59" t="s">
        <v>116</v>
      </c>
      <c r="D20" s="59" t="s">
        <v>127</v>
      </c>
      <c r="E20" s="42" t="s">
        <v>198</v>
      </c>
      <c r="F20" s="58" t="s">
        <v>199</v>
      </c>
      <c r="G20" s="44" t="s">
        <v>120</v>
      </c>
      <c r="H20" s="45" t="s">
        <v>121</v>
      </c>
      <c r="I20" s="60" t="s">
        <v>200</v>
      </c>
      <c r="J20" s="45" t="s">
        <v>123</v>
      </c>
      <c r="K20" s="47">
        <v>45474.0</v>
      </c>
      <c r="L20" s="48">
        <v>10.0</v>
      </c>
      <c r="M20" s="57" t="s">
        <v>201</v>
      </c>
      <c r="N20" s="58" t="s">
        <v>202</v>
      </c>
    </row>
    <row r="21" ht="15.75" customHeight="1">
      <c r="A21" s="55">
        <v>20.0</v>
      </c>
      <c r="B21" s="59" t="s">
        <v>126</v>
      </c>
      <c r="C21" s="59" t="s">
        <v>116</v>
      </c>
      <c r="D21" s="59" t="s">
        <v>127</v>
      </c>
      <c r="E21" s="42" t="s">
        <v>203</v>
      </c>
      <c r="F21" s="58" t="s">
        <v>204</v>
      </c>
      <c r="G21" s="44" t="s">
        <v>120</v>
      </c>
      <c r="H21" s="45" t="s">
        <v>121</v>
      </c>
      <c r="I21" s="60" t="s">
        <v>205</v>
      </c>
      <c r="J21" s="45" t="s">
        <v>123</v>
      </c>
      <c r="K21" s="47">
        <v>45474.0</v>
      </c>
      <c r="L21" s="48">
        <v>10.0</v>
      </c>
      <c r="M21" s="57" t="s">
        <v>201</v>
      </c>
      <c r="N21" s="58" t="s">
        <v>206</v>
      </c>
    </row>
    <row r="22" ht="15.75" customHeight="1">
      <c r="A22" s="59">
        <v>21.0</v>
      </c>
      <c r="B22" s="59" t="s">
        <v>126</v>
      </c>
      <c r="C22" s="59" t="s">
        <v>116</v>
      </c>
      <c r="D22" s="59" t="s">
        <v>117</v>
      </c>
      <c r="E22" s="42" t="s">
        <v>207</v>
      </c>
      <c r="F22" s="61" t="s">
        <v>208</v>
      </c>
      <c r="G22" s="44" t="s">
        <v>120</v>
      </c>
      <c r="H22" s="45" t="s">
        <v>121</v>
      </c>
      <c r="I22" s="46" t="s">
        <v>122</v>
      </c>
      <c r="J22" s="46" t="s">
        <v>209</v>
      </c>
      <c r="K22" s="47">
        <v>45474.0</v>
      </c>
      <c r="L22" s="48">
        <v>10.0</v>
      </c>
      <c r="M22" s="49" t="s">
        <v>124</v>
      </c>
      <c r="N22" s="61" t="s">
        <v>210</v>
      </c>
    </row>
    <row r="23" ht="15.75" customHeight="1">
      <c r="A23" s="59">
        <v>22.0</v>
      </c>
      <c r="B23" s="59" t="s">
        <v>126</v>
      </c>
      <c r="C23" s="59" t="s">
        <v>116</v>
      </c>
      <c r="D23" s="59" t="s">
        <v>117</v>
      </c>
      <c r="E23" s="42" t="s">
        <v>211</v>
      </c>
      <c r="F23" s="61" t="s">
        <v>212</v>
      </c>
      <c r="G23" s="44" t="s">
        <v>120</v>
      </c>
      <c r="H23" s="45" t="s">
        <v>121</v>
      </c>
      <c r="I23" s="46" t="s">
        <v>122</v>
      </c>
      <c r="J23" s="46" t="s">
        <v>213</v>
      </c>
      <c r="K23" s="47">
        <v>45474.0</v>
      </c>
      <c r="L23" s="48">
        <v>10.0</v>
      </c>
      <c r="M23" s="49" t="s">
        <v>124</v>
      </c>
      <c r="N23" s="61" t="s">
        <v>214</v>
      </c>
    </row>
    <row r="24" ht="15.75" customHeight="1">
      <c r="A24" s="59">
        <v>23.0</v>
      </c>
      <c r="B24" s="59" t="s">
        <v>126</v>
      </c>
      <c r="C24" s="59" t="s">
        <v>116</v>
      </c>
      <c r="D24" s="59" t="s">
        <v>127</v>
      </c>
      <c r="E24" s="42" t="s">
        <v>215</v>
      </c>
      <c r="F24" s="61" t="s">
        <v>216</v>
      </c>
      <c r="G24" s="44" t="s">
        <v>120</v>
      </c>
      <c r="H24" s="45" t="s">
        <v>121</v>
      </c>
      <c r="I24" s="46" t="s">
        <v>122</v>
      </c>
      <c r="J24" s="60">
        <v>1234.0</v>
      </c>
      <c r="K24" s="47">
        <v>45474.0</v>
      </c>
      <c r="L24" s="48">
        <v>10.0</v>
      </c>
      <c r="M24" s="49" t="s">
        <v>217</v>
      </c>
      <c r="N24" s="61" t="s">
        <v>218</v>
      </c>
    </row>
    <row r="25" ht="15.75" customHeight="1">
      <c r="A25" s="59">
        <v>24.0</v>
      </c>
      <c r="B25" s="59" t="s">
        <v>126</v>
      </c>
      <c r="C25" s="59" t="s">
        <v>116</v>
      </c>
      <c r="D25" s="59" t="s">
        <v>127</v>
      </c>
      <c r="E25" s="42" t="s">
        <v>219</v>
      </c>
      <c r="F25" s="61" t="s">
        <v>220</v>
      </c>
      <c r="G25" s="44" t="s">
        <v>120</v>
      </c>
      <c r="H25" s="45" t="s">
        <v>121</v>
      </c>
      <c r="I25" s="46" t="s">
        <v>122</v>
      </c>
      <c r="J25" s="60" t="s">
        <v>221</v>
      </c>
      <c r="K25" s="47">
        <v>45474.0</v>
      </c>
      <c r="L25" s="48">
        <v>10.0</v>
      </c>
      <c r="M25" s="49" t="s">
        <v>222</v>
      </c>
      <c r="N25" s="61" t="s">
        <v>223</v>
      </c>
    </row>
    <row r="26" ht="15.75" customHeight="1">
      <c r="A26" s="59">
        <v>25.0</v>
      </c>
      <c r="B26" s="59" t="s">
        <v>126</v>
      </c>
      <c r="C26" s="59" t="s">
        <v>171</v>
      </c>
      <c r="D26" s="59" t="s">
        <v>117</v>
      </c>
      <c r="E26" s="42" t="s">
        <v>224</v>
      </c>
      <c r="F26" s="61" t="s">
        <v>225</v>
      </c>
      <c r="G26" s="44" t="s">
        <v>120</v>
      </c>
      <c r="H26" s="45" t="s">
        <v>121</v>
      </c>
      <c r="I26" s="46" t="s">
        <v>122</v>
      </c>
      <c r="J26" s="45" t="s">
        <v>123</v>
      </c>
      <c r="K26" s="47">
        <v>45474.0</v>
      </c>
      <c r="L26" s="48">
        <v>10.0</v>
      </c>
      <c r="M26" s="49" t="s">
        <v>124</v>
      </c>
      <c r="N26" s="61" t="s">
        <v>226</v>
      </c>
    </row>
    <row r="27" ht="15.75" customHeight="1">
      <c r="A27" s="59">
        <v>26.0</v>
      </c>
      <c r="B27" s="59" t="s">
        <v>126</v>
      </c>
      <c r="C27" s="59" t="s">
        <v>116</v>
      </c>
      <c r="D27" s="59" t="s">
        <v>127</v>
      </c>
      <c r="E27" s="42" t="s">
        <v>227</v>
      </c>
      <c r="F27" s="61" t="s">
        <v>228</v>
      </c>
      <c r="G27" s="44" t="s">
        <v>120</v>
      </c>
      <c r="H27" s="45" t="s">
        <v>121</v>
      </c>
      <c r="I27" s="46" t="s">
        <v>122</v>
      </c>
      <c r="J27" s="45" t="s">
        <v>123</v>
      </c>
      <c r="K27" s="60">
        <v>1234.0</v>
      </c>
      <c r="L27" s="48">
        <v>10.0</v>
      </c>
      <c r="M27" s="49" t="s">
        <v>229</v>
      </c>
      <c r="N27" s="61" t="s">
        <v>230</v>
      </c>
    </row>
    <row r="28">
      <c r="A28" s="62">
        <v>27.0</v>
      </c>
      <c r="B28" s="62" t="s">
        <v>126</v>
      </c>
      <c r="C28" s="62" t="s">
        <v>116</v>
      </c>
      <c r="D28" s="62" t="s">
        <v>127</v>
      </c>
      <c r="E28" s="42" t="s">
        <v>231</v>
      </c>
      <c r="F28" s="53" t="s">
        <v>232</v>
      </c>
      <c r="G28" s="44" t="s">
        <v>120</v>
      </c>
      <c r="H28" s="45" t="s">
        <v>121</v>
      </c>
      <c r="I28" s="46" t="s">
        <v>122</v>
      </c>
      <c r="J28" s="45" t="s">
        <v>123</v>
      </c>
      <c r="K28" s="60" t="s">
        <v>233</v>
      </c>
      <c r="L28" s="48">
        <v>10.0</v>
      </c>
      <c r="M28" s="49" t="s">
        <v>234</v>
      </c>
      <c r="N28" s="53" t="s">
        <v>235</v>
      </c>
    </row>
    <row r="29" ht="15.75" customHeight="1">
      <c r="A29" s="59">
        <v>28.0</v>
      </c>
      <c r="B29" s="59" t="s">
        <v>126</v>
      </c>
      <c r="C29" s="59" t="s">
        <v>116</v>
      </c>
      <c r="D29" s="59" t="s">
        <v>127</v>
      </c>
      <c r="E29" s="42" t="s">
        <v>236</v>
      </c>
      <c r="F29" s="61" t="s">
        <v>237</v>
      </c>
      <c r="G29" s="44" t="s">
        <v>120</v>
      </c>
      <c r="H29" s="45" t="s">
        <v>121</v>
      </c>
      <c r="I29" s="46" t="s">
        <v>122</v>
      </c>
      <c r="J29" s="45" t="s">
        <v>123</v>
      </c>
      <c r="K29" s="63">
        <v>45474.0</v>
      </c>
      <c r="L29" s="48">
        <v>10.0</v>
      </c>
      <c r="M29" s="49" t="s">
        <v>238</v>
      </c>
      <c r="N29" s="61" t="s">
        <v>239</v>
      </c>
    </row>
    <row r="30" ht="15.75" customHeight="1">
      <c r="A30" s="59">
        <v>29.0</v>
      </c>
      <c r="B30" s="59" t="s">
        <v>126</v>
      </c>
      <c r="C30" s="59" t="s">
        <v>171</v>
      </c>
      <c r="D30" s="59" t="s">
        <v>117</v>
      </c>
      <c r="E30" s="42" t="s">
        <v>240</v>
      </c>
      <c r="F30" s="61" t="s">
        <v>241</v>
      </c>
      <c r="G30" s="44" t="s">
        <v>120</v>
      </c>
      <c r="H30" s="45" t="s">
        <v>121</v>
      </c>
      <c r="I30" s="46" t="s">
        <v>122</v>
      </c>
      <c r="J30" s="45" t="s">
        <v>123</v>
      </c>
      <c r="K30" s="47">
        <v>45474.0</v>
      </c>
      <c r="L30" s="48">
        <v>10.01</v>
      </c>
      <c r="M30" s="49" t="s">
        <v>124</v>
      </c>
      <c r="N30" s="61" t="s">
        <v>242</v>
      </c>
    </row>
    <row r="31" ht="15.75" customHeight="1">
      <c r="A31" s="59">
        <v>30.0</v>
      </c>
      <c r="B31" s="59" t="s">
        <v>126</v>
      </c>
      <c r="C31" s="59" t="s">
        <v>171</v>
      </c>
      <c r="D31" s="59" t="s">
        <v>117</v>
      </c>
      <c r="E31" s="42" t="s">
        <v>243</v>
      </c>
      <c r="F31" s="61" t="s">
        <v>244</v>
      </c>
      <c r="G31" s="44" t="s">
        <v>120</v>
      </c>
      <c r="H31" s="45" t="s">
        <v>121</v>
      </c>
      <c r="I31" s="46" t="s">
        <v>122</v>
      </c>
      <c r="J31" s="45" t="s">
        <v>123</v>
      </c>
      <c r="K31" s="47">
        <v>45474.0</v>
      </c>
      <c r="L31" s="48">
        <v>9999.99</v>
      </c>
      <c r="M31" s="49" t="s">
        <v>124</v>
      </c>
      <c r="N31" s="61" t="s">
        <v>245</v>
      </c>
    </row>
    <row r="32" ht="15.75" customHeight="1">
      <c r="A32" s="59">
        <v>31.0</v>
      </c>
      <c r="B32" s="59" t="s">
        <v>126</v>
      </c>
      <c r="C32" s="59" t="s">
        <v>171</v>
      </c>
      <c r="D32" s="59" t="s">
        <v>117</v>
      </c>
      <c r="E32" s="42" t="s">
        <v>246</v>
      </c>
      <c r="F32" s="61" t="s">
        <v>247</v>
      </c>
      <c r="G32" s="44" t="s">
        <v>120</v>
      </c>
      <c r="H32" s="45" t="s">
        <v>121</v>
      </c>
      <c r="I32" s="46" t="s">
        <v>122</v>
      </c>
      <c r="J32" s="45" t="s">
        <v>123</v>
      </c>
      <c r="K32" s="47">
        <v>45474.0</v>
      </c>
      <c r="L32" s="48">
        <v>10000.0</v>
      </c>
      <c r="M32" s="49" t="s">
        <v>124</v>
      </c>
      <c r="N32" s="61" t="s">
        <v>248</v>
      </c>
    </row>
    <row r="33" ht="15.75" customHeight="1">
      <c r="A33" s="59">
        <v>32.0</v>
      </c>
      <c r="B33" s="59" t="s">
        <v>126</v>
      </c>
      <c r="C33" s="59" t="s">
        <v>116</v>
      </c>
      <c r="D33" s="59" t="s">
        <v>127</v>
      </c>
      <c r="E33" s="42" t="s">
        <v>249</v>
      </c>
      <c r="F33" s="61" t="s">
        <v>250</v>
      </c>
      <c r="G33" s="44" t="s">
        <v>120</v>
      </c>
      <c r="H33" s="45" t="s">
        <v>121</v>
      </c>
      <c r="I33" s="46" t="s">
        <v>122</v>
      </c>
      <c r="J33" s="45" t="s">
        <v>123</v>
      </c>
      <c r="K33" s="47">
        <v>45474.0</v>
      </c>
      <c r="L33" s="64">
        <v>10.0</v>
      </c>
      <c r="M33" s="49" t="s">
        <v>251</v>
      </c>
      <c r="N33" s="61" t="s">
        <v>252</v>
      </c>
    </row>
    <row r="34" ht="15.75" customHeight="1">
      <c r="A34" s="59">
        <v>33.0</v>
      </c>
      <c r="B34" s="59" t="s">
        <v>126</v>
      </c>
      <c r="C34" s="59" t="s">
        <v>116</v>
      </c>
      <c r="D34" s="59" t="s">
        <v>127</v>
      </c>
      <c r="E34" s="65" t="s">
        <v>253</v>
      </c>
      <c r="F34" s="61" t="s">
        <v>254</v>
      </c>
      <c r="G34" s="44" t="s">
        <v>120</v>
      </c>
      <c r="H34" s="45" t="s">
        <v>121</v>
      </c>
      <c r="I34" s="46" t="s">
        <v>122</v>
      </c>
      <c r="J34" s="45" t="s">
        <v>123</v>
      </c>
      <c r="K34" s="47">
        <v>45474.0</v>
      </c>
      <c r="L34" s="64" t="s">
        <v>255</v>
      </c>
      <c r="M34" s="49" t="s">
        <v>256</v>
      </c>
      <c r="N34" s="61" t="s">
        <v>257</v>
      </c>
    </row>
    <row r="35" ht="15.75" customHeight="1">
      <c r="A35" s="59">
        <v>34.0</v>
      </c>
      <c r="B35" s="59" t="s">
        <v>126</v>
      </c>
      <c r="C35" s="59" t="s">
        <v>116</v>
      </c>
      <c r="D35" s="59" t="s">
        <v>127</v>
      </c>
      <c r="E35" s="65" t="s">
        <v>258</v>
      </c>
      <c r="F35" s="61" t="s">
        <v>259</v>
      </c>
      <c r="G35" s="44" t="s">
        <v>120</v>
      </c>
      <c r="H35" s="45" t="s">
        <v>121</v>
      </c>
      <c r="I35" s="46" t="s">
        <v>122</v>
      </c>
      <c r="J35" s="45" t="s">
        <v>123</v>
      </c>
      <c r="K35" s="47">
        <v>45474.0</v>
      </c>
      <c r="L35" s="66" t="s">
        <v>260</v>
      </c>
      <c r="M35" s="49" t="s">
        <v>261</v>
      </c>
      <c r="N35" s="61" t="s">
        <v>262</v>
      </c>
    </row>
    <row r="36" ht="15.75" customHeight="1">
      <c r="A36" s="59">
        <v>35.0</v>
      </c>
      <c r="B36" s="59" t="s">
        <v>126</v>
      </c>
      <c r="C36" s="59" t="s">
        <v>116</v>
      </c>
      <c r="D36" s="59" t="s">
        <v>127</v>
      </c>
      <c r="E36" s="65" t="s">
        <v>263</v>
      </c>
      <c r="F36" s="61" t="s">
        <v>264</v>
      </c>
      <c r="G36" s="44" t="s">
        <v>120</v>
      </c>
      <c r="H36" s="45" t="s">
        <v>121</v>
      </c>
      <c r="I36" s="46" t="s">
        <v>122</v>
      </c>
      <c r="J36" s="45" t="s">
        <v>123</v>
      </c>
      <c r="K36" s="47">
        <v>45474.0</v>
      </c>
      <c r="L36" s="64" t="s">
        <v>265</v>
      </c>
      <c r="M36" s="49" t="s">
        <v>261</v>
      </c>
      <c r="N36" s="61" t="s">
        <v>266</v>
      </c>
    </row>
    <row r="37" ht="15.75" customHeight="1">
      <c r="A37" s="59">
        <v>36.0</v>
      </c>
      <c r="B37" s="59" t="s">
        <v>126</v>
      </c>
      <c r="C37" s="59" t="s">
        <v>116</v>
      </c>
      <c r="D37" s="59" t="s">
        <v>127</v>
      </c>
      <c r="E37" s="65" t="s">
        <v>267</v>
      </c>
      <c r="F37" s="61" t="s">
        <v>268</v>
      </c>
      <c r="G37" s="44" t="s">
        <v>120</v>
      </c>
      <c r="H37" s="45" t="s">
        <v>121</v>
      </c>
      <c r="I37" s="46" t="s">
        <v>122</v>
      </c>
      <c r="J37" s="45" t="s">
        <v>123</v>
      </c>
      <c r="K37" s="47">
        <v>45474.0</v>
      </c>
      <c r="L37" s="64" t="s">
        <v>269</v>
      </c>
      <c r="M37" s="49" t="s">
        <v>270</v>
      </c>
      <c r="N37" s="61" t="s">
        <v>271</v>
      </c>
    </row>
    <row r="38" ht="15.75" customHeight="1">
      <c r="A38" s="59">
        <v>37.0</v>
      </c>
      <c r="B38" s="59" t="s">
        <v>126</v>
      </c>
      <c r="C38" s="59" t="s">
        <v>116</v>
      </c>
      <c r="D38" s="59" t="s">
        <v>127</v>
      </c>
      <c r="E38" s="65" t="s">
        <v>272</v>
      </c>
      <c r="F38" s="61" t="s">
        <v>273</v>
      </c>
      <c r="G38" s="44" t="s">
        <v>120</v>
      </c>
      <c r="H38" s="45" t="s">
        <v>121</v>
      </c>
      <c r="I38" s="46" t="s">
        <v>122</v>
      </c>
      <c r="J38" s="45" t="s">
        <v>123</v>
      </c>
      <c r="K38" s="47">
        <v>45474.0</v>
      </c>
      <c r="L38" s="64" t="s">
        <v>274</v>
      </c>
      <c r="M38" s="49" t="s">
        <v>275</v>
      </c>
      <c r="N38" s="61" t="s">
        <v>276</v>
      </c>
    </row>
    <row r="39" ht="15.75" customHeight="1">
      <c r="A39" s="59">
        <v>38.0</v>
      </c>
      <c r="B39" s="59" t="s">
        <v>277</v>
      </c>
      <c r="C39" s="59" t="s">
        <v>116</v>
      </c>
      <c r="D39" s="59" t="s">
        <v>127</v>
      </c>
      <c r="E39" s="65" t="s">
        <v>278</v>
      </c>
      <c r="F39" s="61" t="s">
        <v>279</v>
      </c>
      <c r="G39" s="44" t="s">
        <v>120</v>
      </c>
      <c r="H39" s="45" t="s">
        <v>121</v>
      </c>
      <c r="I39" s="46" t="s">
        <v>122</v>
      </c>
      <c r="J39" s="45" t="s">
        <v>123</v>
      </c>
      <c r="K39" s="47">
        <v>45474.0</v>
      </c>
      <c r="L39" s="48">
        <v>10.0</v>
      </c>
      <c r="M39" s="49" t="s">
        <v>280</v>
      </c>
      <c r="N39" s="61" t="s">
        <v>281</v>
      </c>
    </row>
    <row r="40" ht="15.7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ht="15.7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 ht="15.7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 ht="15.7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6"/>
    <col customWidth="1" min="3" max="3" width="15.2"/>
    <col customWidth="1" min="4" max="4" width="33.0"/>
    <col customWidth="1" min="5" max="5" width="15.8"/>
    <col customWidth="1" min="6" max="6" width="62.2"/>
    <col customWidth="1" min="7" max="7" width="16.8"/>
    <col customWidth="1" min="8" max="8" width="83.3"/>
    <col customWidth="1" min="9" max="10" width="33.7"/>
    <col customWidth="1" min="11" max="28" width="10.6"/>
  </cols>
  <sheetData>
    <row r="1" ht="33.0" customHeight="1">
      <c r="A1" s="1" t="s">
        <v>107</v>
      </c>
      <c r="B1" s="68" t="s">
        <v>282</v>
      </c>
      <c r="C1" s="69" t="s">
        <v>283</v>
      </c>
      <c r="D1" s="69" t="s">
        <v>284</v>
      </c>
      <c r="E1" s="1" t="s">
        <v>111</v>
      </c>
      <c r="F1" s="1" t="s">
        <v>285</v>
      </c>
      <c r="G1" s="1" t="s">
        <v>286</v>
      </c>
      <c r="H1" s="1" t="s">
        <v>287</v>
      </c>
      <c r="I1" s="1" t="s">
        <v>102</v>
      </c>
      <c r="J1" s="1" t="s">
        <v>288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 ht="15.75" customHeight="1">
      <c r="A2" s="71">
        <v>1.0</v>
      </c>
      <c r="B2" s="71" t="s">
        <v>289</v>
      </c>
      <c r="C2" s="72" t="s">
        <v>290</v>
      </c>
      <c r="D2" s="73" t="s">
        <v>117</v>
      </c>
      <c r="E2" s="73" t="str">
        <f t="shared" ref="E2:E93" si="1">"TC"&amp;ROW()-1</f>
        <v>TC1</v>
      </c>
      <c r="F2" s="71" t="s">
        <v>291</v>
      </c>
      <c r="G2" s="71" t="s">
        <v>292</v>
      </c>
      <c r="H2" s="74" t="s">
        <v>293</v>
      </c>
      <c r="I2" s="71" t="s">
        <v>294</v>
      </c>
      <c r="J2" s="73"/>
    </row>
    <row r="3" ht="15.75" customHeight="1">
      <c r="A3" s="73">
        <f t="shared" ref="A3:A93" si="2">ROW()-1</f>
        <v>2</v>
      </c>
      <c r="B3" s="71">
        <v>1.0</v>
      </c>
      <c r="C3" s="75" t="s">
        <v>295</v>
      </c>
      <c r="D3" s="71" t="s">
        <v>296</v>
      </c>
      <c r="E3" s="73" t="str">
        <f t="shared" si="1"/>
        <v>TC2</v>
      </c>
      <c r="F3" s="71" t="s">
        <v>297</v>
      </c>
      <c r="G3" s="71" t="s">
        <v>292</v>
      </c>
      <c r="H3" s="71" t="s">
        <v>298</v>
      </c>
      <c r="I3" s="71" t="s">
        <v>299</v>
      </c>
      <c r="J3" s="73"/>
    </row>
    <row r="4" ht="15.75" customHeight="1">
      <c r="A4" s="73">
        <f t="shared" si="2"/>
        <v>3</v>
      </c>
      <c r="B4" s="71">
        <v>1.0</v>
      </c>
      <c r="C4" s="75" t="s">
        <v>295</v>
      </c>
      <c r="D4" s="71" t="s">
        <v>300</v>
      </c>
      <c r="E4" s="73" t="str">
        <f t="shared" si="1"/>
        <v>TC3</v>
      </c>
      <c r="F4" s="71" t="s">
        <v>301</v>
      </c>
      <c r="G4" s="71" t="s">
        <v>292</v>
      </c>
      <c r="H4" s="71" t="s">
        <v>302</v>
      </c>
      <c r="I4" s="71" t="s">
        <v>299</v>
      </c>
      <c r="J4" s="71" t="s">
        <v>303</v>
      </c>
    </row>
    <row r="5" ht="15.75" customHeight="1">
      <c r="A5" s="73">
        <f t="shared" si="2"/>
        <v>4</v>
      </c>
      <c r="B5" s="71">
        <v>2.5</v>
      </c>
      <c r="C5" s="75" t="s">
        <v>304</v>
      </c>
      <c r="D5" s="71" t="s">
        <v>296</v>
      </c>
      <c r="E5" s="73" t="str">
        <f t="shared" si="1"/>
        <v>TC4</v>
      </c>
      <c r="F5" s="71" t="s">
        <v>305</v>
      </c>
      <c r="G5" s="71" t="s">
        <v>292</v>
      </c>
      <c r="H5" s="71" t="s">
        <v>306</v>
      </c>
      <c r="I5" s="71" t="s">
        <v>299</v>
      </c>
      <c r="J5" s="73"/>
    </row>
    <row r="6" ht="15.75" customHeight="1">
      <c r="A6" s="73">
        <f t="shared" si="2"/>
        <v>5</v>
      </c>
      <c r="B6" s="71">
        <v>2.5</v>
      </c>
      <c r="C6" s="75" t="s">
        <v>304</v>
      </c>
      <c r="D6" s="71" t="s">
        <v>300</v>
      </c>
      <c r="E6" s="73" t="str">
        <f t="shared" si="1"/>
        <v>TC5</v>
      </c>
      <c r="F6" s="71" t="s">
        <v>307</v>
      </c>
      <c r="G6" s="71" t="s">
        <v>292</v>
      </c>
      <c r="H6" s="74" t="s">
        <v>308</v>
      </c>
      <c r="I6" s="71" t="s">
        <v>299</v>
      </c>
      <c r="J6" s="73"/>
    </row>
    <row r="7" ht="15.75" customHeight="1">
      <c r="A7" s="73">
        <f t="shared" si="2"/>
        <v>6</v>
      </c>
      <c r="B7" s="71">
        <v>5.0</v>
      </c>
      <c r="C7" s="75" t="s">
        <v>290</v>
      </c>
      <c r="D7" s="71" t="s">
        <v>309</v>
      </c>
      <c r="E7" s="73" t="str">
        <f t="shared" si="1"/>
        <v>TC6</v>
      </c>
      <c r="F7" s="71" t="s">
        <v>310</v>
      </c>
      <c r="G7" s="71" t="s">
        <v>292</v>
      </c>
      <c r="H7" s="74" t="s">
        <v>311</v>
      </c>
      <c r="I7" s="71" t="s">
        <v>299</v>
      </c>
      <c r="J7" s="73"/>
    </row>
    <row r="8" ht="15.75" customHeight="1">
      <c r="A8" s="73">
        <f t="shared" si="2"/>
        <v>7</v>
      </c>
      <c r="B8" s="71">
        <v>3.0</v>
      </c>
      <c r="C8" s="75" t="s">
        <v>295</v>
      </c>
      <c r="D8" s="71" t="s">
        <v>296</v>
      </c>
      <c r="E8" s="73" t="str">
        <f t="shared" si="1"/>
        <v>TC7</v>
      </c>
      <c r="F8" s="71" t="s">
        <v>312</v>
      </c>
      <c r="G8" s="71" t="s">
        <v>292</v>
      </c>
      <c r="H8" s="74" t="s">
        <v>313</v>
      </c>
      <c r="I8" s="71" t="s">
        <v>299</v>
      </c>
      <c r="J8" s="73"/>
    </row>
    <row r="9" ht="15.75" customHeight="1">
      <c r="A9" s="73">
        <f t="shared" si="2"/>
        <v>8</v>
      </c>
      <c r="B9" s="71">
        <v>3.0</v>
      </c>
      <c r="C9" s="75" t="s">
        <v>295</v>
      </c>
      <c r="D9" s="71" t="s">
        <v>300</v>
      </c>
      <c r="E9" s="73" t="str">
        <f t="shared" si="1"/>
        <v>TC8</v>
      </c>
      <c r="F9" s="71" t="s">
        <v>314</v>
      </c>
      <c r="G9" s="71" t="s">
        <v>292</v>
      </c>
      <c r="H9" s="74" t="s">
        <v>315</v>
      </c>
      <c r="I9" s="71" t="s">
        <v>299</v>
      </c>
      <c r="J9" s="73"/>
    </row>
    <row r="10" ht="15.75" customHeight="1">
      <c r="A10" s="73">
        <f t="shared" si="2"/>
        <v>9</v>
      </c>
      <c r="B10" s="71">
        <v>4.9</v>
      </c>
      <c r="C10" s="75" t="s">
        <v>304</v>
      </c>
      <c r="D10" s="71" t="s">
        <v>296</v>
      </c>
      <c r="E10" s="73" t="str">
        <f t="shared" si="1"/>
        <v>TC9</v>
      </c>
      <c r="F10" s="71" t="s">
        <v>316</v>
      </c>
      <c r="G10" s="71" t="s">
        <v>292</v>
      </c>
      <c r="H10" s="74" t="s">
        <v>317</v>
      </c>
      <c r="I10" s="71" t="s">
        <v>299</v>
      </c>
      <c r="J10" s="73"/>
    </row>
    <row r="11" ht="15.75" customHeight="1">
      <c r="A11" s="73">
        <f t="shared" si="2"/>
        <v>10</v>
      </c>
      <c r="B11" s="71">
        <v>4.9</v>
      </c>
      <c r="C11" s="75" t="s">
        <v>304</v>
      </c>
      <c r="D11" s="71" t="s">
        <v>300</v>
      </c>
      <c r="E11" s="73" t="str">
        <f t="shared" si="1"/>
        <v>TC10</v>
      </c>
      <c r="F11" s="71" t="s">
        <v>318</v>
      </c>
      <c r="G11" s="71" t="s">
        <v>292</v>
      </c>
      <c r="H11" s="74" t="s">
        <v>319</v>
      </c>
      <c r="I11" s="71" t="s">
        <v>299</v>
      </c>
      <c r="J11" s="73"/>
    </row>
    <row r="12" ht="15.75" customHeight="1">
      <c r="A12" s="73">
        <f t="shared" si="2"/>
        <v>11</v>
      </c>
      <c r="B12" s="71">
        <v>9.0</v>
      </c>
      <c r="C12" s="75" t="s">
        <v>290</v>
      </c>
      <c r="D12" s="71" t="s">
        <v>309</v>
      </c>
      <c r="E12" s="73" t="str">
        <f t="shared" si="1"/>
        <v>TC11</v>
      </c>
      <c r="F12" s="71" t="s">
        <v>320</v>
      </c>
      <c r="G12" s="71" t="s">
        <v>292</v>
      </c>
      <c r="H12" s="74" t="s">
        <v>321</v>
      </c>
      <c r="I12" s="71" t="s">
        <v>299</v>
      </c>
      <c r="J12" s="73"/>
    </row>
    <row r="13" ht="15.75" customHeight="1">
      <c r="A13" s="73">
        <f t="shared" si="2"/>
        <v>12</v>
      </c>
      <c r="B13" s="71">
        <v>6.0</v>
      </c>
      <c r="C13" s="75" t="s">
        <v>295</v>
      </c>
      <c r="D13" s="71" t="s">
        <v>296</v>
      </c>
      <c r="E13" s="73" t="str">
        <f t="shared" si="1"/>
        <v>TC12</v>
      </c>
      <c r="F13" s="71" t="s">
        <v>322</v>
      </c>
      <c r="G13" s="71" t="s">
        <v>292</v>
      </c>
      <c r="H13" s="74" t="s">
        <v>323</v>
      </c>
      <c r="I13" s="71" t="s">
        <v>299</v>
      </c>
      <c r="J13" s="73"/>
    </row>
    <row r="14" ht="15.75" customHeight="1">
      <c r="A14" s="73">
        <f t="shared" si="2"/>
        <v>13</v>
      </c>
      <c r="B14" s="71">
        <v>6.0</v>
      </c>
      <c r="C14" s="75" t="s">
        <v>295</v>
      </c>
      <c r="D14" s="71" t="s">
        <v>300</v>
      </c>
      <c r="E14" s="73" t="str">
        <f t="shared" si="1"/>
        <v>TC13</v>
      </c>
      <c r="F14" s="71" t="s">
        <v>324</v>
      </c>
      <c r="G14" s="71" t="s">
        <v>292</v>
      </c>
      <c r="H14" s="74" t="s">
        <v>325</v>
      </c>
      <c r="I14" s="71" t="s">
        <v>299</v>
      </c>
      <c r="J14" s="73"/>
    </row>
    <row r="15" ht="15.75" customHeight="1">
      <c r="A15" s="73">
        <f t="shared" si="2"/>
        <v>14</v>
      </c>
      <c r="B15" s="71">
        <v>7.13</v>
      </c>
      <c r="C15" s="75" t="s">
        <v>304</v>
      </c>
      <c r="D15" s="71" t="s">
        <v>296</v>
      </c>
      <c r="E15" s="73" t="str">
        <f t="shared" si="1"/>
        <v>TC14</v>
      </c>
      <c r="F15" s="71" t="s">
        <v>326</v>
      </c>
      <c r="G15" s="71" t="s">
        <v>292</v>
      </c>
      <c r="H15" s="74" t="s">
        <v>327</v>
      </c>
      <c r="I15" s="71" t="s">
        <v>299</v>
      </c>
      <c r="J15" s="73"/>
    </row>
    <row r="16" ht="15.75" customHeight="1">
      <c r="A16" s="73">
        <f t="shared" si="2"/>
        <v>15</v>
      </c>
      <c r="B16" s="71">
        <v>7.13</v>
      </c>
      <c r="C16" s="75" t="s">
        <v>304</v>
      </c>
      <c r="D16" s="71" t="s">
        <v>300</v>
      </c>
      <c r="E16" s="73" t="str">
        <f t="shared" si="1"/>
        <v>TC15</v>
      </c>
      <c r="F16" s="71" t="s">
        <v>328</v>
      </c>
      <c r="G16" s="71" t="s">
        <v>292</v>
      </c>
      <c r="H16" s="74" t="s">
        <v>329</v>
      </c>
      <c r="I16" s="71" t="s">
        <v>299</v>
      </c>
      <c r="J16" s="73"/>
    </row>
    <row r="17" ht="15.75" customHeight="1">
      <c r="A17" s="73">
        <f t="shared" si="2"/>
        <v>16</v>
      </c>
      <c r="B17" s="71">
        <v>13.0</v>
      </c>
      <c r="C17" s="75" t="s">
        <v>290</v>
      </c>
      <c r="D17" s="71" t="s">
        <v>309</v>
      </c>
      <c r="E17" s="73" t="str">
        <f t="shared" si="1"/>
        <v>TC16</v>
      </c>
      <c r="F17" s="71" t="s">
        <v>330</v>
      </c>
      <c r="G17" s="71" t="s">
        <v>292</v>
      </c>
      <c r="H17" s="74" t="s">
        <v>331</v>
      </c>
      <c r="I17" s="71" t="s">
        <v>299</v>
      </c>
      <c r="J17" s="73"/>
    </row>
    <row r="18" ht="15.75" customHeight="1">
      <c r="A18" s="73">
        <f t="shared" si="2"/>
        <v>17</v>
      </c>
      <c r="B18" s="71">
        <v>8.0</v>
      </c>
      <c r="C18" s="75" t="s">
        <v>295</v>
      </c>
      <c r="D18" s="71" t="s">
        <v>296</v>
      </c>
      <c r="E18" s="73" t="str">
        <f t="shared" si="1"/>
        <v>TC17</v>
      </c>
      <c r="F18" s="71" t="s">
        <v>332</v>
      </c>
      <c r="G18" s="71" t="s">
        <v>292</v>
      </c>
      <c r="H18" s="74" t="s">
        <v>333</v>
      </c>
      <c r="I18" s="71" t="s">
        <v>299</v>
      </c>
      <c r="J18" s="73"/>
    </row>
    <row r="19" ht="15.75" customHeight="1">
      <c r="A19" s="73">
        <f t="shared" si="2"/>
        <v>18</v>
      </c>
      <c r="B19" s="71">
        <v>8.0</v>
      </c>
      <c r="C19" s="75" t="s">
        <v>295</v>
      </c>
      <c r="D19" s="71" t="s">
        <v>300</v>
      </c>
      <c r="E19" s="73" t="str">
        <f t="shared" si="1"/>
        <v>TC18</v>
      </c>
      <c r="F19" s="71" t="s">
        <v>334</v>
      </c>
      <c r="G19" s="71" t="s">
        <v>292</v>
      </c>
      <c r="H19" s="74" t="s">
        <v>335</v>
      </c>
      <c r="I19" s="71" t="s">
        <v>299</v>
      </c>
      <c r="J19" s="73"/>
    </row>
    <row r="20" ht="15.75" customHeight="1">
      <c r="A20" s="73">
        <f t="shared" si="2"/>
        <v>19</v>
      </c>
      <c r="B20" s="71">
        <v>10.0</v>
      </c>
      <c r="C20" s="75" t="s">
        <v>295</v>
      </c>
      <c r="D20" s="71" t="s">
        <v>296</v>
      </c>
      <c r="E20" s="73" t="str">
        <f t="shared" si="1"/>
        <v>TC19</v>
      </c>
      <c r="F20" s="71" t="s">
        <v>336</v>
      </c>
      <c r="G20" s="71" t="s">
        <v>292</v>
      </c>
      <c r="H20" s="71" t="s">
        <v>337</v>
      </c>
      <c r="I20" s="71" t="s">
        <v>299</v>
      </c>
      <c r="J20" s="73"/>
    </row>
    <row r="21" ht="15.75" customHeight="1">
      <c r="A21" s="73">
        <f t="shared" si="2"/>
        <v>20</v>
      </c>
      <c r="B21" s="71">
        <v>10.0</v>
      </c>
      <c r="C21" s="75" t="s">
        <v>295</v>
      </c>
      <c r="D21" s="71" t="s">
        <v>300</v>
      </c>
      <c r="E21" s="73" t="str">
        <f t="shared" si="1"/>
        <v>TC20</v>
      </c>
      <c r="F21" s="71" t="s">
        <v>338</v>
      </c>
      <c r="G21" s="71" t="s">
        <v>292</v>
      </c>
      <c r="H21" s="71" t="s">
        <v>339</v>
      </c>
      <c r="I21" s="71" t="s">
        <v>299</v>
      </c>
      <c r="J21" s="73"/>
    </row>
    <row r="22" ht="15.75" customHeight="1">
      <c r="A22" s="73">
        <f t="shared" si="2"/>
        <v>21</v>
      </c>
      <c r="B22" s="76">
        <v>11.2</v>
      </c>
      <c r="C22" s="75" t="s">
        <v>295</v>
      </c>
      <c r="D22" s="71" t="s">
        <v>296</v>
      </c>
      <c r="E22" s="73" t="str">
        <f t="shared" si="1"/>
        <v>TC21</v>
      </c>
      <c r="F22" s="71" t="s">
        <v>340</v>
      </c>
      <c r="G22" s="71" t="s">
        <v>292</v>
      </c>
      <c r="H22" s="77" t="s">
        <v>341</v>
      </c>
      <c r="I22" s="71" t="s">
        <v>299</v>
      </c>
      <c r="J22" s="73"/>
    </row>
    <row r="23" ht="15.75" customHeight="1">
      <c r="A23" s="73">
        <f t="shared" si="2"/>
        <v>22</v>
      </c>
      <c r="B23" s="76">
        <v>11.2</v>
      </c>
      <c r="C23" s="75" t="s">
        <v>295</v>
      </c>
      <c r="D23" s="71" t="s">
        <v>300</v>
      </c>
      <c r="E23" s="73" t="str">
        <f t="shared" si="1"/>
        <v>TC22</v>
      </c>
      <c r="F23" s="71" t="s">
        <v>342</v>
      </c>
      <c r="G23" s="71" t="s">
        <v>292</v>
      </c>
      <c r="H23" s="77" t="s">
        <v>343</v>
      </c>
      <c r="I23" s="71" t="s">
        <v>299</v>
      </c>
      <c r="J23" s="73"/>
    </row>
    <row r="24" ht="15.75" customHeight="1">
      <c r="A24" s="73">
        <f t="shared" si="2"/>
        <v>23</v>
      </c>
      <c r="B24" s="71">
        <v>20.0</v>
      </c>
      <c r="C24" s="75" t="s">
        <v>295</v>
      </c>
      <c r="D24" s="71" t="s">
        <v>309</v>
      </c>
      <c r="E24" s="73" t="str">
        <f t="shared" si="1"/>
        <v>TC23</v>
      </c>
      <c r="F24" s="71" t="s">
        <v>344</v>
      </c>
      <c r="G24" s="71" t="s">
        <v>292</v>
      </c>
      <c r="H24" s="77" t="s">
        <v>345</v>
      </c>
      <c r="I24" s="71" t="s">
        <v>299</v>
      </c>
      <c r="J24" s="73"/>
    </row>
    <row r="25" ht="15.75" customHeight="1">
      <c r="A25" s="73">
        <f t="shared" si="2"/>
        <v>24</v>
      </c>
      <c r="B25" s="71">
        <v>12.0</v>
      </c>
      <c r="C25" s="75" t="s">
        <v>295</v>
      </c>
      <c r="D25" s="71" t="s">
        <v>296</v>
      </c>
      <c r="E25" s="73" t="str">
        <f t="shared" si="1"/>
        <v>TC24</v>
      </c>
      <c r="F25" s="71" t="s">
        <v>346</v>
      </c>
      <c r="G25" s="71" t="s">
        <v>292</v>
      </c>
      <c r="H25" s="77" t="s">
        <v>347</v>
      </c>
      <c r="I25" s="71" t="s">
        <v>299</v>
      </c>
      <c r="J25" s="73"/>
    </row>
    <row r="26" ht="15.75" customHeight="1">
      <c r="A26" s="73">
        <f t="shared" si="2"/>
        <v>25</v>
      </c>
      <c r="B26" s="71">
        <v>12.0</v>
      </c>
      <c r="C26" s="75" t="s">
        <v>295</v>
      </c>
      <c r="D26" s="71" t="s">
        <v>300</v>
      </c>
      <c r="E26" s="73" t="str">
        <f t="shared" si="1"/>
        <v>TC25</v>
      </c>
      <c r="F26" s="71" t="s">
        <v>348</v>
      </c>
      <c r="G26" s="71" t="s">
        <v>292</v>
      </c>
      <c r="H26" s="77" t="s">
        <v>349</v>
      </c>
      <c r="I26" s="71" t="s">
        <v>299</v>
      </c>
      <c r="J26" s="73"/>
    </row>
    <row r="27" ht="15.75" customHeight="1">
      <c r="A27" s="73">
        <f t="shared" si="2"/>
        <v>26</v>
      </c>
      <c r="B27" s="71">
        <v>14.0</v>
      </c>
      <c r="C27" s="75" t="s">
        <v>295</v>
      </c>
      <c r="D27" s="71" t="s">
        <v>296</v>
      </c>
      <c r="E27" s="73" t="str">
        <f t="shared" si="1"/>
        <v>TC26</v>
      </c>
      <c r="F27" s="71" t="s">
        <v>350</v>
      </c>
      <c r="G27" s="71" t="s">
        <v>292</v>
      </c>
      <c r="H27" s="77" t="s">
        <v>351</v>
      </c>
      <c r="I27" s="71" t="s">
        <v>299</v>
      </c>
      <c r="J27" s="73"/>
    </row>
    <row r="28" ht="15.75" customHeight="1">
      <c r="A28" s="73">
        <f t="shared" si="2"/>
        <v>27</v>
      </c>
      <c r="B28" s="71">
        <v>14.0</v>
      </c>
      <c r="C28" s="75" t="s">
        <v>295</v>
      </c>
      <c r="D28" s="71" t="s">
        <v>300</v>
      </c>
      <c r="E28" s="73" t="str">
        <f t="shared" si="1"/>
        <v>TC27</v>
      </c>
      <c r="F28" s="71" t="s">
        <v>352</v>
      </c>
      <c r="G28" s="71" t="s">
        <v>292</v>
      </c>
      <c r="H28" s="77" t="s">
        <v>353</v>
      </c>
      <c r="I28" s="71" t="s">
        <v>299</v>
      </c>
      <c r="J28" s="73"/>
    </row>
    <row r="29" ht="15.75" customHeight="1">
      <c r="A29" s="73">
        <f t="shared" si="2"/>
        <v>28</v>
      </c>
      <c r="B29" s="71">
        <v>15.27</v>
      </c>
      <c r="C29" s="75" t="s">
        <v>304</v>
      </c>
      <c r="D29" s="71" t="s">
        <v>296</v>
      </c>
      <c r="E29" s="73" t="str">
        <f t="shared" si="1"/>
        <v>TC28</v>
      </c>
      <c r="F29" s="71" t="s">
        <v>354</v>
      </c>
      <c r="G29" s="71" t="s">
        <v>292</v>
      </c>
      <c r="H29" s="77" t="s">
        <v>355</v>
      </c>
      <c r="I29" s="71" t="s">
        <v>299</v>
      </c>
      <c r="J29" s="73"/>
    </row>
    <row r="30" ht="15.75" customHeight="1">
      <c r="A30" s="73">
        <f t="shared" si="2"/>
        <v>29</v>
      </c>
      <c r="B30" s="71">
        <v>15.27</v>
      </c>
      <c r="C30" s="75" t="s">
        <v>304</v>
      </c>
      <c r="D30" s="71" t="s">
        <v>300</v>
      </c>
      <c r="E30" s="73" t="str">
        <f t="shared" si="1"/>
        <v>TC29</v>
      </c>
      <c r="F30" s="71" t="s">
        <v>356</v>
      </c>
      <c r="G30" s="71" t="s">
        <v>292</v>
      </c>
      <c r="H30" s="77" t="s">
        <v>357</v>
      </c>
      <c r="I30" s="71" t="s">
        <v>299</v>
      </c>
      <c r="J30" s="73"/>
    </row>
    <row r="31" ht="15.75" customHeight="1">
      <c r="A31" s="73">
        <f t="shared" si="2"/>
        <v>30</v>
      </c>
      <c r="B31" s="71">
        <v>27.0</v>
      </c>
      <c r="C31" s="75" t="s">
        <v>295</v>
      </c>
      <c r="D31" s="71" t="s">
        <v>309</v>
      </c>
      <c r="E31" s="73" t="str">
        <f t="shared" si="1"/>
        <v>TC30</v>
      </c>
      <c r="F31" s="71" t="s">
        <v>358</v>
      </c>
      <c r="G31" s="71" t="s">
        <v>292</v>
      </c>
      <c r="H31" s="77" t="s">
        <v>359</v>
      </c>
      <c r="I31" s="71" t="s">
        <v>299</v>
      </c>
      <c r="J31" s="73"/>
    </row>
    <row r="32" ht="15.75" customHeight="1">
      <c r="A32" s="73">
        <f t="shared" si="2"/>
        <v>31</v>
      </c>
      <c r="B32" s="71">
        <v>16.0</v>
      </c>
      <c r="C32" s="75" t="s">
        <v>295</v>
      </c>
      <c r="D32" s="71" t="s">
        <v>296</v>
      </c>
      <c r="E32" s="73" t="str">
        <f t="shared" si="1"/>
        <v>TC31</v>
      </c>
      <c r="F32" s="71" t="s">
        <v>360</v>
      </c>
      <c r="G32" s="71" t="s">
        <v>292</v>
      </c>
      <c r="H32" s="77" t="s">
        <v>361</v>
      </c>
      <c r="I32" s="71" t="s">
        <v>299</v>
      </c>
      <c r="J32" s="73"/>
    </row>
    <row r="33" ht="15.75" customHeight="1">
      <c r="A33" s="73">
        <f t="shared" si="2"/>
        <v>32</v>
      </c>
      <c r="B33" s="71">
        <v>16.0</v>
      </c>
      <c r="C33" s="75" t="s">
        <v>295</v>
      </c>
      <c r="D33" s="71" t="s">
        <v>300</v>
      </c>
      <c r="E33" s="73" t="str">
        <f t="shared" si="1"/>
        <v>TC32</v>
      </c>
      <c r="F33" s="71" t="s">
        <v>362</v>
      </c>
      <c r="G33" s="71" t="s">
        <v>292</v>
      </c>
      <c r="H33" s="77" t="s">
        <v>363</v>
      </c>
      <c r="I33" s="71" t="s">
        <v>299</v>
      </c>
      <c r="J33" s="73"/>
    </row>
    <row r="34" ht="15.75" customHeight="1">
      <c r="A34" s="73">
        <f t="shared" si="2"/>
        <v>33</v>
      </c>
      <c r="B34" s="71">
        <v>17.31</v>
      </c>
      <c r="C34" s="75" t="s">
        <v>304</v>
      </c>
      <c r="D34" s="71" t="s">
        <v>296</v>
      </c>
      <c r="E34" s="73" t="str">
        <f t="shared" si="1"/>
        <v>TC33</v>
      </c>
      <c r="F34" s="71" t="s">
        <v>364</v>
      </c>
      <c r="G34" s="71" t="s">
        <v>292</v>
      </c>
      <c r="H34" s="71" t="s">
        <v>365</v>
      </c>
      <c r="I34" s="71" t="s">
        <v>299</v>
      </c>
      <c r="J34" s="73"/>
    </row>
    <row r="35" ht="15.75" customHeight="1">
      <c r="A35" s="73">
        <f t="shared" si="2"/>
        <v>34</v>
      </c>
      <c r="B35" s="71">
        <v>17.31</v>
      </c>
      <c r="C35" s="75" t="s">
        <v>304</v>
      </c>
      <c r="D35" s="71" t="s">
        <v>300</v>
      </c>
      <c r="E35" s="73" t="str">
        <f t="shared" si="1"/>
        <v>TC34</v>
      </c>
      <c r="F35" s="71" t="s">
        <v>366</v>
      </c>
      <c r="G35" s="71" t="s">
        <v>292</v>
      </c>
      <c r="H35" s="71" t="s">
        <v>367</v>
      </c>
      <c r="I35" s="71" t="s">
        <v>299</v>
      </c>
      <c r="J35" s="73"/>
    </row>
    <row r="36" ht="15.75" customHeight="1">
      <c r="A36" s="73">
        <f t="shared" si="2"/>
        <v>35</v>
      </c>
      <c r="B36" s="71">
        <v>31.0</v>
      </c>
      <c r="C36" s="75" t="s">
        <v>290</v>
      </c>
      <c r="D36" s="71" t="s">
        <v>309</v>
      </c>
      <c r="E36" s="73" t="str">
        <f t="shared" si="1"/>
        <v>TC35</v>
      </c>
      <c r="F36" s="71" t="s">
        <v>368</v>
      </c>
      <c r="G36" s="71" t="s">
        <v>292</v>
      </c>
      <c r="H36" s="71" t="s">
        <v>369</v>
      </c>
      <c r="I36" s="71" t="s">
        <v>299</v>
      </c>
      <c r="J36" s="73"/>
    </row>
    <row r="37" ht="15.75" customHeight="1">
      <c r="A37" s="73">
        <f t="shared" si="2"/>
        <v>36</v>
      </c>
      <c r="B37" s="71">
        <v>18.32</v>
      </c>
      <c r="C37" s="75" t="s">
        <v>304</v>
      </c>
      <c r="D37" s="71" t="s">
        <v>296</v>
      </c>
      <c r="E37" s="73" t="str">
        <f t="shared" si="1"/>
        <v>TC36</v>
      </c>
      <c r="F37" s="71" t="s">
        <v>370</v>
      </c>
      <c r="G37" s="71" t="s">
        <v>292</v>
      </c>
      <c r="H37" s="71" t="s">
        <v>371</v>
      </c>
      <c r="I37" s="71" t="s">
        <v>299</v>
      </c>
      <c r="J37" s="73"/>
    </row>
    <row r="38" ht="15.75" customHeight="1">
      <c r="A38" s="73">
        <f t="shared" si="2"/>
        <v>37</v>
      </c>
      <c r="B38" s="71">
        <v>18.32</v>
      </c>
      <c r="C38" s="75" t="s">
        <v>304</v>
      </c>
      <c r="D38" s="71" t="s">
        <v>300</v>
      </c>
      <c r="E38" s="73" t="str">
        <f t="shared" si="1"/>
        <v>TC37</v>
      </c>
      <c r="F38" s="71" t="s">
        <v>372</v>
      </c>
      <c r="G38" s="71" t="s">
        <v>292</v>
      </c>
      <c r="H38" s="71" t="s">
        <v>373</v>
      </c>
      <c r="I38" s="71" t="s">
        <v>299</v>
      </c>
      <c r="J38" s="73"/>
    </row>
    <row r="39" ht="15.75" customHeight="1">
      <c r="A39" s="73">
        <f t="shared" si="2"/>
        <v>38</v>
      </c>
      <c r="B39" s="71">
        <v>32.0</v>
      </c>
      <c r="C39" s="75" t="s">
        <v>290</v>
      </c>
      <c r="D39" s="71" t="s">
        <v>309</v>
      </c>
      <c r="E39" s="73" t="str">
        <f t="shared" si="1"/>
        <v>TC38</v>
      </c>
      <c r="F39" s="71" t="s">
        <v>374</v>
      </c>
      <c r="G39" s="71" t="s">
        <v>292</v>
      </c>
      <c r="H39" s="71" t="s">
        <v>375</v>
      </c>
      <c r="I39" s="71" t="s">
        <v>299</v>
      </c>
      <c r="J39" s="73"/>
    </row>
    <row r="40" ht="15.75" customHeight="1">
      <c r="A40" s="73">
        <f t="shared" si="2"/>
        <v>39</v>
      </c>
      <c r="B40" s="71">
        <v>19.33</v>
      </c>
      <c r="C40" s="75" t="s">
        <v>304</v>
      </c>
      <c r="D40" s="71" t="s">
        <v>296</v>
      </c>
      <c r="E40" s="73" t="str">
        <f t="shared" si="1"/>
        <v>TC39</v>
      </c>
      <c r="F40" s="71" t="s">
        <v>376</v>
      </c>
      <c r="G40" s="71" t="s">
        <v>292</v>
      </c>
      <c r="H40" s="71" t="s">
        <v>377</v>
      </c>
      <c r="I40" s="71" t="s">
        <v>299</v>
      </c>
      <c r="J40" s="73"/>
    </row>
    <row r="41" ht="15.75" customHeight="1">
      <c r="A41" s="73">
        <f t="shared" si="2"/>
        <v>40</v>
      </c>
      <c r="B41" s="71">
        <v>19.33</v>
      </c>
      <c r="C41" s="75" t="s">
        <v>304</v>
      </c>
      <c r="D41" s="71" t="s">
        <v>300</v>
      </c>
      <c r="E41" s="73" t="str">
        <f t="shared" si="1"/>
        <v>TC40</v>
      </c>
      <c r="F41" s="71" t="s">
        <v>378</v>
      </c>
      <c r="G41" s="71" t="s">
        <v>292</v>
      </c>
      <c r="H41" s="71" t="s">
        <v>379</v>
      </c>
      <c r="I41" s="71" t="s">
        <v>299</v>
      </c>
      <c r="J41" s="73"/>
    </row>
    <row r="42" ht="15.75" customHeight="1">
      <c r="A42" s="73">
        <f t="shared" si="2"/>
        <v>41</v>
      </c>
      <c r="B42" s="71">
        <v>33.0</v>
      </c>
      <c r="C42" s="75" t="s">
        <v>290</v>
      </c>
      <c r="D42" s="71" t="s">
        <v>309</v>
      </c>
      <c r="E42" s="73" t="str">
        <f t="shared" si="1"/>
        <v>TC41</v>
      </c>
      <c r="F42" s="71" t="s">
        <v>380</v>
      </c>
      <c r="G42" s="71" t="s">
        <v>292</v>
      </c>
      <c r="H42" s="71" t="s">
        <v>381</v>
      </c>
      <c r="I42" s="71" t="s">
        <v>299</v>
      </c>
      <c r="J42" s="73"/>
    </row>
    <row r="43" ht="15.75" customHeight="1">
      <c r="A43" s="73">
        <f t="shared" si="2"/>
        <v>42</v>
      </c>
      <c r="B43" s="71">
        <v>21.34</v>
      </c>
      <c r="C43" s="75" t="s">
        <v>304</v>
      </c>
      <c r="D43" s="71" t="s">
        <v>296</v>
      </c>
      <c r="E43" s="73" t="str">
        <f t="shared" si="1"/>
        <v>TC42</v>
      </c>
      <c r="F43" s="71" t="s">
        <v>382</v>
      </c>
      <c r="G43" s="71" t="s">
        <v>292</v>
      </c>
      <c r="H43" s="71" t="s">
        <v>383</v>
      </c>
      <c r="I43" s="71" t="s">
        <v>299</v>
      </c>
      <c r="J43" s="73"/>
    </row>
    <row r="44" ht="15.75" customHeight="1">
      <c r="A44" s="73">
        <f t="shared" si="2"/>
        <v>43</v>
      </c>
      <c r="B44" s="71">
        <v>21.34</v>
      </c>
      <c r="C44" s="75" t="s">
        <v>304</v>
      </c>
      <c r="D44" s="71" t="s">
        <v>300</v>
      </c>
      <c r="E44" s="73" t="str">
        <f t="shared" si="1"/>
        <v>TC43</v>
      </c>
      <c r="F44" s="71" t="s">
        <v>384</v>
      </c>
      <c r="G44" s="71" t="s">
        <v>292</v>
      </c>
      <c r="H44" s="71" t="s">
        <v>385</v>
      </c>
      <c r="I44" s="71" t="s">
        <v>299</v>
      </c>
      <c r="J44" s="78"/>
    </row>
    <row r="45" ht="15.75" customHeight="1">
      <c r="A45" s="79">
        <f t="shared" si="2"/>
        <v>44</v>
      </c>
      <c r="B45" s="80">
        <v>34.0</v>
      </c>
      <c r="C45" s="81" t="s">
        <v>290</v>
      </c>
      <c r="D45" s="80" t="s">
        <v>309</v>
      </c>
      <c r="E45" s="79" t="str">
        <f t="shared" si="1"/>
        <v>TC44</v>
      </c>
      <c r="F45" s="82" t="s">
        <v>386</v>
      </c>
      <c r="G45" s="82" t="s">
        <v>292</v>
      </c>
      <c r="H45" s="82" t="s">
        <v>387</v>
      </c>
      <c r="I45" s="82" t="s">
        <v>299</v>
      </c>
      <c r="J45" s="83"/>
    </row>
    <row r="46" ht="15.75" customHeight="1">
      <c r="A46" s="79">
        <f t="shared" si="2"/>
        <v>45</v>
      </c>
      <c r="B46" s="80">
        <v>22.0</v>
      </c>
      <c r="C46" s="81" t="s">
        <v>295</v>
      </c>
      <c r="D46" s="80" t="s">
        <v>296</v>
      </c>
      <c r="E46" s="79" t="str">
        <f t="shared" si="1"/>
        <v>TC45</v>
      </c>
      <c r="F46" s="82" t="s">
        <v>388</v>
      </c>
      <c r="G46" s="82" t="s">
        <v>292</v>
      </c>
      <c r="H46" s="82" t="s">
        <v>389</v>
      </c>
      <c r="I46" s="82" t="s">
        <v>390</v>
      </c>
      <c r="J46" s="83"/>
    </row>
    <row r="47" ht="15.75" customHeight="1">
      <c r="A47" s="79">
        <f t="shared" si="2"/>
        <v>46</v>
      </c>
      <c r="B47" s="80">
        <v>22.0</v>
      </c>
      <c r="C47" s="81" t="s">
        <v>295</v>
      </c>
      <c r="D47" s="80" t="s">
        <v>300</v>
      </c>
      <c r="E47" s="79" t="str">
        <f t="shared" si="1"/>
        <v>TC46</v>
      </c>
      <c r="F47" s="82" t="s">
        <v>391</v>
      </c>
      <c r="G47" s="82" t="s">
        <v>292</v>
      </c>
      <c r="H47" s="82" t="s">
        <v>392</v>
      </c>
      <c r="I47" s="82" t="s">
        <v>390</v>
      </c>
      <c r="J47" s="83"/>
    </row>
    <row r="48" ht="15.75" customHeight="1">
      <c r="A48" s="79">
        <f t="shared" si="2"/>
        <v>47</v>
      </c>
      <c r="B48" s="80">
        <v>23.38</v>
      </c>
      <c r="C48" s="81" t="s">
        <v>295</v>
      </c>
      <c r="D48" s="80" t="s">
        <v>296</v>
      </c>
      <c r="E48" s="79" t="str">
        <f t="shared" si="1"/>
        <v>TC47</v>
      </c>
      <c r="F48" s="82" t="s">
        <v>393</v>
      </c>
      <c r="G48" s="82" t="s">
        <v>292</v>
      </c>
      <c r="H48" s="82" t="s">
        <v>394</v>
      </c>
      <c r="I48" s="82" t="s">
        <v>299</v>
      </c>
      <c r="J48" s="83"/>
    </row>
    <row r="49" ht="15.75" customHeight="1">
      <c r="A49" s="79">
        <f t="shared" si="2"/>
        <v>48</v>
      </c>
      <c r="B49" s="80">
        <v>23.38</v>
      </c>
      <c r="C49" s="81" t="s">
        <v>295</v>
      </c>
      <c r="D49" s="80" t="s">
        <v>300</v>
      </c>
      <c r="E49" s="79" t="str">
        <f t="shared" si="1"/>
        <v>TC48</v>
      </c>
      <c r="F49" s="82" t="s">
        <v>384</v>
      </c>
      <c r="G49" s="82" t="s">
        <v>292</v>
      </c>
      <c r="H49" s="82" t="s">
        <v>395</v>
      </c>
      <c r="I49" s="82" t="s">
        <v>299</v>
      </c>
      <c r="J49" s="83"/>
    </row>
    <row r="50" ht="15.75" customHeight="1">
      <c r="A50" s="79">
        <f t="shared" si="2"/>
        <v>49</v>
      </c>
      <c r="B50" s="80">
        <v>38.0</v>
      </c>
      <c r="C50" s="81" t="s">
        <v>295</v>
      </c>
      <c r="D50" s="80" t="s">
        <v>309</v>
      </c>
      <c r="E50" s="79" t="str">
        <f t="shared" si="1"/>
        <v>TC49</v>
      </c>
      <c r="F50" s="82" t="s">
        <v>396</v>
      </c>
      <c r="G50" s="82" t="s">
        <v>292</v>
      </c>
      <c r="H50" s="82" t="s">
        <v>397</v>
      </c>
      <c r="I50" s="82" t="s">
        <v>299</v>
      </c>
      <c r="J50" s="83"/>
    </row>
    <row r="51" ht="15.75" customHeight="1">
      <c r="A51" s="79">
        <f t="shared" si="2"/>
        <v>50</v>
      </c>
      <c r="B51" s="80">
        <v>24.39</v>
      </c>
      <c r="C51" s="81" t="s">
        <v>304</v>
      </c>
      <c r="D51" s="80" t="s">
        <v>296</v>
      </c>
      <c r="E51" s="79" t="str">
        <f t="shared" si="1"/>
        <v>TC50</v>
      </c>
      <c r="F51" s="80" t="s">
        <v>398</v>
      </c>
      <c r="G51" s="82" t="s">
        <v>292</v>
      </c>
      <c r="H51" s="82" t="s">
        <v>399</v>
      </c>
      <c r="I51" s="82" t="s">
        <v>299</v>
      </c>
      <c r="J51" s="83"/>
    </row>
    <row r="52" ht="15.75" customHeight="1">
      <c r="A52" s="79">
        <f t="shared" si="2"/>
        <v>51</v>
      </c>
      <c r="B52" s="80">
        <v>24.39</v>
      </c>
      <c r="C52" s="81" t="s">
        <v>304</v>
      </c>
      <c r="D52" s="80" t="s">
        <v>300</v>
      </c>
      <c r="E52" s="79" t="str">
        <f t="shared" si="1"/>
        <v>TC51</v>
      </c>
      <c r="F52" s="80" t="s">
        <v>400</v>
      </c>
      <c r="G52" s="82" t="s">
        <v>292</v>
      </c>
      <c r="H52" s="82" t="s">
        <v>401</v>
      </c>
      <c r="I52" s="82" t="s">
        <v>299</v>
      </c>
      <c r="J52" s="83"/>
    </row>
    <row r="53" ht="15.75" customHeight="1">
      <c r="A53" s="79">
        <f t="shared" si="2"/>
        <v>52</v>
      </c>
      <c r="B53" s="80">
        <v>39.0</v>
      </c>
      <c r="C53" s="81" t="s">
        <v>290</v>
      </c>
      <c r="D53" s="80" t="s">
        <v>309</v>
      </c>
      <c r="E53" s="79" t="str">
        <f t="shared" si="1"/>
        <v>TC52</v>
      </c>
      <c r="F53" s="80" t="s">
        <v>402</v>
      </c>
      <c r="G53" s="82" t="s">
        <v>292</v>
      </c>
      <c r="H53" s="82" t="s">
        <v>403</v>
      </c>
      <c r="I53" s="82" t="s">
        <v>299</v>
      </c>
      <c r="J53" s="83"/>
    </row>
    <row r="54" ht="15.75" customHeight="1">
      <c r="A54" s="79">
        <f t="shared" si="2"/>
        <v>53</v>
      </c>
      <c r="B54" s="84">
        <v>25.4</v>
      </c>
      <c r="C54" s="81" t="s">
        <v>304</v>
      </c>
      <c r="D54" s="80" t="s">
        <v>296</v>
      </c>
      <c r="E54" s="79" t="str">
        <f t="shared" si="1"/>
        <v>TC53</v>
      </c>
      <c r="F54" s="80" t="s">
        <v>404</v>
      </c>
      <c r="G54" s="82" t="s">
        <v>292</v>
      </c>
      <c r="H54" s="82" t="s">
        <v>405</v>
      </c>
      <c r="I54" s="82" t="s">
        <v>299</v>
      </c>
      <c r="J54" s="83"/>
    </row>
    <row r="55" ht="15.75" customHeight="1">
      <c r="A55" s="79">
        <f t="shared" si="2"/>
        <v>54</v>
      </c>
      <c r="B55" s="84">
        <v>25.4</v>
      </c>
      <c r="C55" s="81" t="s">
        <v>304</v>
      </c>
      <c r="D55" s="80" t="s">
        <v>300</v>
      </c>
      <c r="E55" s="79" t="str">
        <f t="shared" si="1"/>
        <v>TC54</v>
      </c>
      <c r="F55" s="80" t="s">
        <v>406</v>
      </c>
      <c r="G55" s="82" t="s">
        <v>292</v>
      </c>
      <c r="H55" s="82" t="s">
        <v>407</v>
      </c>
      <c r="I55" s="82" t="s">
        <v>299</v>
      </c>
      <c r="J55" s="83"/>
    </row>
    <row r="56" ht="15.75" customHeight="1">
      <c r="A56" s="79">
        <f t="shared" si="2"/>
        <v>55</v>
      </c>
      <c r="B56" s="80">
        <v>40.0</v>
      </c>
      <c r="C56" s="81" t="s">
        <v>290</v>
      </c>
      <c r="D56" s="80" t="s">
        <v>309</v>
      </c>
      <c r="E56" s="79" t="str">
        <f t="shared" si="1"/>
        <v>TC55</v>
      </c>
      <c r="F56" s="80" t="s">
        <v>408</v>
      </c>
      <c r="G56" s="82" t="s">
        <v>292</v>
      </c>
      <c r="H56" s="82" t="s">
        <v>409</v>
      </c>
      <c r="I56" s="82" t="s">
        <v>299</v>
      </c>
      <c r="J56" s="83"/>
    </row>
    <row r="57" ht="15.75" customHeight="1">
      <c r="A57" s="79">
        <f t="shared" si="2"/>
        <v>56</v>
      </c>
      <c r="B57" s="80">
        <v>26.41</v>
      </c>
      <c r="C57" s="81" t="s">
        <v>304</v>
      </c>
      <c r="D57" s="80" t="s">
        <v>296</v>
      </c>
      <c r="E57" s="79" t="str">
        <f t="shared" si="1"/>
        <v>TC56</v>
      </c>
      <c r="F57" s="80" t="s">
        <v>410</v>
      </c>
      <c r="G57" s="82" t="s">
        <v>292</v>
      </c>
      <c r="H57" s="82" t="s">
        <v>411</v>
      </c>
      <c r="I57" s="82" t="s">
        <v>299</v>
      </c>
      <c r="J57" s="83"/>
    </row>
    <row r="58" ht="15.75" customHeight="1">
      <c r="A58" s="79">
        <f t="shared" si="2"/>
        <v>57</v>
      </c>
      <c r="B58" s="80">
        <v>26.41</v>
      </c>
      <c r="C58" s="81" t="s">
        <v>304</v>
      </c>
      <c r="D58" s="80" t="s">
        <v>300</v>
      </c>
      <c r="E58" s="79" t="str">
        <f t="shared" si="1"/>
        <v>TC57</v>
      </c>
      <c r="F58" s="80" t="s">
        <v>412</v>
      </c>
      <c r="G58" s="82" t="s">
        <v>292</v>
      </c>
      <c r="H58" s="82" t="s">
        <v>413</v>
      </c>
      <c r="I58" s="82" t="s">
        <v>299</v>
      </c>
      <c r="J58" s="83"/>
    </row>
    <row r="59" ht="15.75" customHeight="1">
      <c r="A59" s="79">
        <f t="shared" si="2"/>
        <v>58</v>
      </c>
      <c r="B59" s="80">
        <v>41.0</v>
      </c>
      <c r="C59" s="81" t="s">
        <v>290</v>
      </c>
      <c r="D59" s="80" t="s">
        <v>309</v>
      </c>
      <c r="E59" s="79" t="str">
        <f t="shared" si="1"/>
        <v>TC58</v>
      </c>
      <c r="F59" s="80" t="s">
        <v>414</v>
      </c>
      <c r="G59" s="82" t="s">
        <v>292</v>
      </c>
      <c r="H59" s="82" t="s">
        <v>415</v>
      </c>
      <c r="I59" s="82" t="s">
        <v>299</v>
      </c>
      <c r="J59" s="83"/>
    </row>
    <row r="60" ht="15.75" customHeight="1">
      <c r="A60" s="79">
        <f t="shared" si="2"/>
        <v>59</v>
      </c>
      <c r="B60" s="80">
        <v>28.42</v>
      </c>
      <c r="C60" s="81" t="s">
        <v>304</v>
      </c>
      <c r="D60" s="80" t="s">
        <v>296</v>
      </c>
      <c r="E60" s="79" t="str">
        <f t="shared" si="1"/>
        <v>TC59</v>
      </c>
      <c r="F60" s="80" t="s">
        <v>416</v>
      </c>
      <c r="G60" s="82" t="s">
        <v>292</v>
      </c>
      <c r="H60" s="85" t="s">
        <v>417</v>
      </c>
      <c r="I60" s="82" t="s">
        <v>299</v>
      </c>
      <c r="J60" s="83"/>
    </row>
    <row r="61" ht="15.75" customHeight="1">
      <c r="A61" s="79">
        <f t="shared" si="2"/>
        <v>60</v>
      </c>
      <c r="B61" s="80">
        <v>28.42</v>
      </c>
      <c r="C61" s="81" t="s">
        <v>304</v>
      </c>
      <c r="D61" s="80" t="s">
        <v>300</v>
      </c>
      <c r="E61" s="79" t="str">
        <f t="shared" si="1"/>
        <v>TC60</v>
      </c>
      <c r="F61" s="80" t="s">
        <v>418</v>
      </c>
      <c r="G61" s="82" t="s">
        <v>292</v>
      </c>
      <c r="H61" s="85" t="s">
        <v>419</v>
      </c>
      <c r="I61" s="82" t="s">
        <v>299</v>
      </c>
      <c r="J61" s="83"/>
    </row>
    <row r="62" ht="15.75" customHeight="1">
      <c r="A62" s="79">
        <f t="shared" si="2"/>
        <v>61</v>
      </c>
      <c r="B62" s="80">
        <v>42.0</v>
      </c>
      <c r="C62" s="81" t="s">
        <v>290</v>
      </c>
      <c r="D62" s="80" t="s">
        <v>309</v>
      </c>
      <c r="E62" s="79" t="str">
        <f t="shared" si="1"/>
        <v>TC61</v>
      </c>
      <c r="F62" s="80" t="s">
        <v>380</v>
      </c>
      <c r="G62" s="82" t="s">
        <v>292</v>
      </c>
      <c r="H62" s="85" t="s">
        <v>420</v>
      </c>
      <c r="I62" s="82" t="s">
        <v>299</v>
      </c>
      <c r="J62" s="83"/>
    </row>
    <row r="63" ht="15.75" customHeight="1">
      <c r="A63" s="79">
        <f t="shared" si="2"/>
        <v>62</v>
      </c>
      <c r="B63" s="80">
        <v>29.0</v>
      </c>
      <c r="C63" s="81" t="s">
        <v>295</v>
      </c>
      <c r="D63" s="80" t="s">
        <v>296</v>
      </c>
      <c r="E63" s="79" t="str">
        <f t="shared" si="1"/>
        <v>TC62</v>
      </c>
      <c r="F63" s="80" t="s">
        <v>421</v>
      </c>
      <c r="G63" s="82" t="s">
        <v>292</v>
      </c>
      <c r="H63" s="85" t="s">
        <v>422</v>
      </c>
      <c r="I63" s="82" t="s">
        <v>423</v>
      </c>
      <c r="J63" s="83"/>
    </row>
    <row r="64" ht="15.75" customHeight="1">
      <c r="A64" s="79">
        <f t="shared" si="2"/>
        <v>63</v>
      </c>
      <c r="B64" s="80">
        <v>29.0</v>
      </c>
      <c r="C64" s="81" t="s">
        <v>295</v>
      </c>
      <c r="D64" s="80" t="s">
        <v>300</v>
      </c>
      <c r="E64" s="79" t="str">
        <f t="shared" si="1"/>
        <v>TC63</v>
      </c>
      <c r="F64" s="80" t="s">
        <v>424</v>
      </c>
      <c r="G64" s="82" t="s">
        <v>292</v>
      </c>
      <c r="H64" s="85" t="s">
        <v>425</v>
      </c>
      <c r="I64" s="82" t="s">
        <v>423</v>
      </c>
      <c r="J64" s="83"/>
    </row>
    <row r="65" ht="15.75" customHeight="1">
      <c r="A65" s="79">
        <f t="shared" si="2"/>
        <v>64</v>
      </c>
      <c r="B65" s="80">
        <v>30.46</v>
      </c>
      <c r="C65" s="81" t="s">
        <v>304</v>
      </c>
      <c r="D65" s="80" t="s">
        <v>296</v>
      </c>
      <c r="E65" s="79" t="str">
        <f t="shared" si="1"/>
        <v>TC64</v>
      </c>
      <c r="F65" s="80" t="s">
        <v>426</v>
      </c>
      <c r="G65" s="82" t="s">
        <v>292</v>
      </c>
      <c r="H65" s="85" t="s">
        <v>427</v>
      </c>
      <c r="I65" s="82" t="s">
        <v>299</v>
      </c>
      <c r="J65" s="83"/>
    </row>
    <row r="66" ht="15.75" customHeight="1">
      <c r="A66" s="79">
        <f t="shared" si="2"/>
        <v>65</v>
      </c>
      <c r="B66" s="80">
        <v>30.46</v>
      </c>
      <c r="C66" s="81" t="s">
        <v>304</v>
      </c>
      <c r="D66" s="80" t="s">
        <v>300</v>
      </c>
      <c r="E66" s="79" t="str">
        <f t="shared" si="1"/>
        <v>TC65</v>
      </c>
      <c r="F66" s="80" t="s">
        <v>428</v>
      </c>
      <c r="G66" s="82" t="s">
        <v>292</v>
      </c>
      <c r="H66" s="85" t="s">
        <v>429</v>
      </c>
      <c r="I66" s="82" t="s">
        <v>299</v>
      </c>
      <c r="J66" s="83"/>
    </row>
    <row r="67" ht="15.75" customHeight="1">
      <c r="A67" s="79">
        <f t="shared" si="2"/>
        <v>66</v>
      </c>
      <c r="B67" s="80">
        <v>46.0</v>
      </c>
      <c r="C67" s="81" t="s">
        <v>290</v>
      </c>
      <c r="D67" s="80" t="s">
        <v>309</v>
      </c>
      <c r="E67" s="79" t="str">
        <f t="shared" si="1"/>
        <v>TC66</v>
      </c>
      <c r="F67" s="80" t="s">
        <v>386</v>
      </c>
      <c r="G67" s="82" t="s">
        <v>292</v>
      </c>
      <c r="H67" s="85" t="s">
        <v>430</v>
      </c>
      <c r="I67" s="82" t="s">
        <v>299</v>
      </c>
      <c r="J67" s="83"/>
    </row>
    <row r="68" ht="15.75" customHeight="1">
      <c r="A68" s="79">
        <f t="shared" si="2"/>
        <v>67</v>
      </c>
      <c r="B68" s="80">
        <v>35.47</v>
      </c>
      <c r="C68" s="81" t="s">
        <v>304</v>
      </c>
      <c r="D68" s="80" t="s">
        <v>296</v>
      </c>
      <c r="E68" s="79" t="str">
        <f t="shared" si="1"/>
        <v>TC67</v>
      </c>
      <c r="F68" s="80" t="s">
        <v>431</v>
      </c>
      <c r="G68" s="82" t="s">
        <v>292</v>
      </c>
      <c r="H68" s="85" t="s">
        <v>432</v>
      </c>
      <c r="I68" s="82" t="s">
        <v>390</v>
      </c>
      <c r="J68" s="83"/>
    </row>
    <row r="69" ht="15.75" customHeight="1">
      <c r="A69" s="79">
        <f t="shared" si="2"/>
        <v>68</v>
      </c>
      <c r="B69" s="80">
        <v>35.47</v>
      </c>
      <c r="C69" s="81" t="s">
        <v>304</v>
      </c>
      <c r="D69" s="80" t="s">
        <v>300</v>
      </c>
      <c r="E69" s="79" t="str">
        <f t="shared" si="1"/>
        <v>TC68</v>
      </c>
      <c r="F69" s="80" t="s">
        <v>433</v>
      </c>
      <c r="G69" s="82" t="s">
        <v>292</v>
      </c>
      <c r="H69" s="85" t="s">
        <v>434</v>
      </c>
      <c r="I69" s="82" t="s">
        <v>390</v>
      </c>
      <c r="J69" s="83"/>
    </row>
    <row r="70" ht="15.75" customHeight="1">
      <c r="A70" s="79">
        <f t="shared" si="2"/>
        <v>69</v>
      </c>
      <c r="B70" s="80">
        <v>47.0</v>
      </c>
      <c r="C70" s="81" t="s">
        <v>290</v>
      </c>
      <c r="D70" s="80" t="s">
        <v>309</v>
      </c>
      <c r="E70" s="79" t="str">
        <f t="shared" si="1"/>
        <v>TC69</v>
      </c>
      <c r="F70" s="80" t="s">
        <v>435</v>
      </c>
      <c r="G70" s="82" t="s">
        <v>292</v>
      </c>
      <c r="H70" s="85" t="s">
        <v>436</v>
      </c>
      <c r="I70" s="82" t="s">
        <v>390</v>
      </c>
      <c r="J70" s="83"/>
    </row>
    <row r="71" ht="15.75" customHeight="1">
      <c r="A71" s="79">
        <f t="shared" si="2"/>
        <v>70</v>
      </c>
      <c r="B71" s="80">
        <v>36.48</v>
      </c>
      <c r="C71" s="81" t="s">
        <v>304</v>
      </c>
      <c r="D71" s="80" t="s">
        <v>296</v>
      </c>
      <c r="E71" s="79" t="str">
        <f t="shared" si="1"/>
        <v>TC70</v>
      </c>
      <c r="F71" s="80" t="s">
        <v>437</v>
      </c>
      <c r="G71" s="82" t="s">
        <v>292</v>
      </c>
      <c r="H71" s="80" t="s">
        <v>438</v>
      </c>
      <c r="I71" s="82" t="s">
        <v>390</v>
      </c>
      <c r="J71" s="83"/>
    </row>
    <row r="72" ht="15.75" customHeight="1">
      <c r="A72" s="79">
        <f t="shared" si="2"/>
        <v>71</v>
      </c>
      <c r="B72" s="80">
        <v>36.48</v>
      </c>
      <c r="C72" s="81" t="s">
        <v>304</v>
      </c>
      <c r="D72" s="80" t="s">
        <v>300</v>
      </c>
      <c r="E72" s="79" t="str">
        <f t="shared" si="1"/>
        <v>TC71</v>
      </c>
      <c r="F72" s="80" t="s">
        <v>439</v>
      </c>
      <c r="G72" s="82" t="s">
        <v>292</v>
      </c>
      <c r="H72" s="80" t="s">
        <v>440</v>
      </c>
      <c r="I72" s="82" t="s">
        <v>390</v>
      </c>
      <c r="J72" s="83"/>
    </row>
    <row r="73" ht="15.75" customHeight="1">
      <c r="A73" s="79">
        <f t="shared" si="2"/>
        <v>72</v>
      </c>
      <c r="B73" s="80">
        <v>48.0</v>
      </c>
      <c r="C73" s="81" t="s">
        <v>290</v>
      </c>
      <c r="D73" s="80" t="s">
        <v>309</v>
      </c>
      <c r="E73" s="79" t="str">
        <f t="shared" si="1"/>
        <v>TC72</v>
      </c>
      <c r="F73" s="80" t="s">
        <v>441</v>
      </c>
      <c r="G73" s="82" t="s">
        <v>292</v>
      </c>
      <c r="H73" s="80" t="s">
        <v>442</v>
      </c>
      <c r="I73" s="82" t="s">
        <v>390</v>
      </c>
      <c r="J73" s="83"/>
    </row>
    <row r="74" ht="15.75" customHeight="1">
      <c r="A74" s="79">
        <f t="shared" si="2"/>
        <v>73</v>
      </c>
      <c r="B74" s="80">
        <v>37.49</v>
      </c>
      <c r="C74" s="81" t="s">
        <v>304</v>
      </c>
      <c r="D74" s="80" t="s">
        <v>296</v>
      </c>
      <c r="E74" s="79" t="str">
        <f t="shared" si="1"/>
        <v>TC73</v>
      </c>
      <c r="F74" s="80" t="s">
        <v>443</v>
      </c>
      <c r="G74" s="82" t="s">
        <v>292</v>
      </c>
      <c r="H74" s="80" t="s">
        <v>444</v>
      </c>
      <c r="I74" s="82" t="s">
        <v>390</v>
      </c>
      <c r="J74" s="83"/>
    </row>
    <row r="75" ht="15.75" customHeight="1">
      <c r="A75" s="79">
        <f t="shared" si="2"/>
        <v>74</v>
      </c>
      <c r="B75" s="80">
        <v>37.49</v>
      </c>
      <c r="C75" s="81" t="s">
        <v>304</v>
      </c>
      <c r="D75" s="80" t="s">
        <v>300</v>
      </c>
      <c r="E75" s="79" t="str">
        <f t="shared" si="1"/>
        <v>TC74</v>
      </c>
      <c r="F75" s="80" t="s">
        <v>445</v>
      </c>
      <c r="G75" s="82" t="s">
        <v>292</v>
      </c>
      <c r="H75" s="80" t="s">
        <v>446</v>
      </c>
      <c r="I75" s="82" t="s">
        <v>390</v>
      </c>
      <c r="J75" s="83"/>
    </row>
    <row r="76" ht="15.75" customHeight="1">
      <c r="A76" s="79">
        <f t="shared" si="2"/>
        <v>75</v>
      </c>
      <c r="B76" s="80">
        <v>49.0</v>
      </c>
      <c r="C76" s="81" t="s">
        <v>290</v>
      </c>
      <c r="D76" s="80" t="s">
        <v>309</v>
      </c>
      <c r="E76" s="79" t="str">
        <f t="shared" si="1"/>
        <v>TC75</v>
      </c>
      <c r="F76" s="80" t="s">
        <v>447</v>
      </c>
      <c r="G76" s="82" t="s">
        <v>292</v>
      </c>
      <c r="H76" s="80" t="s">
        <v>448</v>
      </c>
      <c r="I76" s="82" t="s">
        <v>390</v>
      </c>
      <c r="J76" s="83"/>
    </row>
    <row r="77" ht="15.75" customHeight="1">
      <c r="A77" s="79">
        <f t="shared" si="2"/>
        <v>76</v>
      </c>
      <c r="B77" s="80">
        <v>43.5</v>
      </c>
      <c r="C77" s="81" t="s">
        <v>304</v>
      </c>
      <c r="D77" s="80" t="s">
        <v>296</v>
      </c>
      <c r="E77" s="79" t="str">
        <f t="shared" si="1"/>
        <v>TC76</v>
      </c>
      <c r="F77" s="80" t="s">
        <v>449</v>
      </c>
      <c r="G77" s="82" t="s">
        <v>292</v>
      </c>
      <c r="H77" s="80" t="s">
        <v>450</v>
      </c>
      <c r="I77" s="82" t="s">
        <v>423</v>
      </c>
      <c r="J77" s="83"/>
    </row>
    <row r="78" ht="15.75" customHeight="1">
      <c r="A78" s="79">
        <f t="shared" si="2"/>
        <v>77</v>
      </c>
      <c r="B78" s="80">
        <v>43.5</v>
      </c>
      <c r="C78" s="81" t="s">
        <v>304</v>
      </c>
      <c r="D78" s="80" t="s">
        <v>300</v>
      </c>
      <c r="E78" s="79" t="str">
        <f t="shared" si="1"/>
        <v>TC77</v>
      </c>
      <c r="F78" s="80" t="s">
        <v>451</v>
      </c>
      <c r="G78" s="82" t="s">
        <v>292</v>
      </c>
      <c r="H78" s="80" t="s">
        <v>452</v>
      </c>
      <c r="I78" s="82" t="s">
        <v>423</v>
      </c>
      <c r="J78" s="83"/>
    </row>
    <row r="79" ht="15.75" customHeight="1">
      <c r="A79" s="79">
        <f t="shared" si="2"/>
        <v>78</v>
      </c>
      <c r="B79" s="80">
        <v>50.0</v>
      </c>
      <c r="C79" s="81" t="s">
        <v>290</v>
      </c>
      <c r="D79" s="80" t="s">
        <v>309</v>
      </c>
      <c r="E79" s="79" t="str">
        <f t="shared" si="1"/>
        <v>TC78</v>
      </c>
      <c r="F79" s="80" t="s">
        <v>453</v>
      </c>
      <c r="G79" s="82" t="s">
        <v>292</v>
      </c>
      <c r="H79" s="80" t="s">
        <v>454</v>
      </c>
      <c r="I79" s="82" t="s">
        <v>423</v>
      </c>
      <c r="J79" s="83"/>
    </row>
    <row r="80" ht="15.75" customHeight="1">
      <c r="A80" s="79">
        <f t="shared" si="2"/>
        <v>79</v>
      </c>
      <c r="B80" s="80">
        <v>44.51</v>
      </c>
      <c r="C80" s="81" t="s">
        <v>304</v>
      </c>
      <c r="D80" s="80" t="s">
        <v>296</v>
      </c>
      <c r="E80" s="79" t="str">
        <f t="shared" si="1"/>
        <v>TC79</v>
      </c>
      <c r="F80" s="80" t="s">
        <v>455</v>
      </c>
      <c r="G80" s="82" t="s">
        <v>292</v>
      </c>
      <c r="H80" s="80" t="s">
        <v>456</v>
      </c>
      <c r="I80" s="82" t="s">
        <v>423</v>
      </c>
      <c r="J80" s="83"/>
    </row>
    <row r="81" ht="15.75" customHeight="1">
      <c r="A81" s="79">
        <f t="shared" si="2"/>
        <v>80</v>
      </c>
      <c r="B81" s="80">
        <v>44.51</v>
      </c>
      <c r="C81" s="81" t="s">
        <v>304</v>
      </c>
      <c r="D81" s="80" t="s">
        <v>300</v>
      </c>
      <c r="E81" s="79" t="str">
        <f t="shared" si="1"/>
        <v>TC80</v>
      </c>
      <c r="F81" s="80" t="s">
        <v>457</v>
      </c>
      <c r="G81" s="82" t="s">
        <v>292</v>
      </c>
      <c r="H81" s="80" t="s">
        <v>458</v>
      </c>
      <c r="I81" s="82" t="s">
        <v>423</v>
      </c>
      <c r="J81" s="83"/>
    </row>
    <row r="82" ht="15.75" customHeight="1">
      <c r="A82" s="79">
        <f t="shared" si="2"/>
        <v>81</v>
      </c>
      <c r="B82" s="80">
        <v>51.0</v>
      </c>
      <c r="C82" s="81" t="s">
        <v>290</v>
      </c>
      <c r="D82" s="80" t="s">
        <v>309</v>
      </c>
      <c r="E82" s="79" t="str">
        <f t="shared" si="1"/>
        <v>TC81</v>
      </c>
      <c r="F82" s="80" t="s">
        <v>459</v>
      </c>
      <c r="G82" s="82" t="s">
        <v>292</v>
      </c>
      <c r="H82" s="80" t="s">
        <v>460</v>
      </c>
      <c r="I82" s="82" t="s">
        <v>423</v>
      </c>
      <c r="J82" s="83"/>
    </row>
    <row r="83" ht="15.75" customHeight="1">
      <c r="A83" s="79">
        <f t="shared" si="2"/>
        <v>82</v>
      </c>
      <c r="B83" s="80">
        <v>45.0</v>
      </c>
      <c r="C83" s="81" t="s">
        <v>295</v>
      </c>
      <c r="D83" s="80" t="s">
        <v>296</v>
      </c>
      <c r="E83" s="79" t="str">
        <f t="shared" si="1"/>
        <v>TC82</v>
      </c>
      <c r="F83" s="80" t="s">
        <v>461</v>
      </c>
      <c r="G83" s="82" t="s">
        <v>292</v>
      </c>
      <c r="H83" s="80" t="s">
        <v>462</v>
      </c>
      <c r="I83" s="82" t="s">
        <v>423</v>
      </c>
      <c r="J83" s="83"/>
    </row>
    <row r="84" ht="15.75" customHeight="1">
      <c r="A84" s="79">
        <f t="shared" si="2"/>
        <v>83</v>
      </c>
      <c r="B84" s="80">
        <v>45.0</v>
      </c>
      <c r="C84" s="81" t="s">
        <v>295</v>
      </c>
      <c r="D84" s="80" t="s">
        <v>300</v>
      </c>
      <c r="E84" s="79" t="str">
        <f t="shared" si="1"/>
        <v>TC83</v>
      </c>
      <c r="F84" s="80" t="s">
        <v>463</v>
      </c>
      <c r="G84" s="82" t="s">
        <v>292</v>
      </c>
      <c r="H84" s="80" t="s">
        <v>464</v>
      </c>
      <c r="I84" s="82" t="s">
        <v>423</v>
      </c>
      <c r="J84" s="83"/>
    </row>
    <row r="85" ht="15.75" customHeight="1">
      <c r="A85" s="79">
        <f t="shared" si="2"/>
        <v>84</v>
      </c>
      <c r="B85" s="80">
        <v>52.55</v>
      </c>
      <c r="C85" s="81" t="s">
        <v>304</v>
      </c>
      <c r="D85" s="80" t="s">
        <v>296</v>
      </c>
      <c r="E85" s="79" t="str">
        <f t="shared" si="1"/>
        <v>TC84</v>
      </c>
      <c r="F85" s="80" t="s">
        <v>465</v>
      </c>
      <c r="G85" s="82" t="s">
        <v>292</v>
      </c>
      <c r="H85" s="80" t="s">
        <v>466</v>
      </c>
      <c r="I85" s="82" t="s">
        <v>423</v>
      </c>
      <c r="J85" s="83"/>
    </row>
    <row r="86" ht="15.75" customHeight="1">
      <c r="A86" s="79">
        <f t="shared" si="2"/>
        <v>85</v>
      </c>
      <c r="B86" s="80">
        <v>52.55</v>
      </c>
      <c r="C86" s="81" t="s">
        <v>304</v>
      </c>
      <c r="D86" s="80" t="s">
        <v>300</v>
      </c>
      <c r="E86" s="79" t="str">
        <f t="shared" si="1"/>
        <v>TC85</v>
      </c>
      <c r="F86" s="80" t="s">
        <v>467</v>
      </c>
      <c r="G86" s="82" t="s">
        <v>292</v>
      </c>
      <c r="H86" s="80" t="s">
        <v>468</v>
      </c>
      <c r="I86" s="82" t="s">
        <v>423</v>
      </c>
      <c r="J86" s="83"/>
    </row>
    <row r="87" ht="15.75" customHeight="1">
      <c r="A87" s="79">
        <f t="shared" si="2"/>
        <v>86</v>
      </c>
      <c r="B87" s="80">
        <v>55.0</v>
      </c>
      <c r="C87" s="81" t="s">
        <v>290</v>
      </c>
      <c r="D87" s="80" t="s">
        <v>309</v>
      </c>
      <c r="E87" s="79" t="str">
        <f t="shared" si="1"/>
        <v>TC86</v>
      </c>
      <c r="F87" s="80" t="s">
        <v>469</v>
      </c>
      <c r="G87" s="82" t="s">
        <v>292</v>
      </c>
      <c r="H87" s="80" t="s">
        <v>470</v>
      </c>
      <c r="I87" s="82" t="s">
        <v>423</v>
      </c>
      <c r="J87" s="83"/>
    </row>
    <row r="88" ht="15.75" customHeight="1">
      <c r="A88" s="79">
        <f t="shared" si="2"/>
        <v>87</v>
      </c>
      <c r="B88" s="80">
        <v>53.56</v>
      </c>
      <c r="C88" s="81" t="s">
        <v>304</v>
      </c>
      <c r="D88" s="80" t="s">
        <v>296</v>
      </c>
      <c r="E88" s="79" t="str">
        <f t="shared" si="1"/>
        <v>TC87</v>
      </c>
      <c r="F88" s="80" t="s">
        <v>471</v>
      </c>
      <c r="G88" s="82" t="s">
        <v>292</v>
      </c>
      <c r="H88" s="80" t="s">
        <v>472</v>
      </c>
      <c r="I88" s="82" t="s">
        <v>423</v>
      </c>
      <c r="J88" s="83"/>
    </row>
    <row r="89" ht="15.75" customHeight="1">
      <c r="A89" s="79">
        <f t="shared" si="2"/>
        <v>88</v>
      </c>
      <c r="B89" s="80">
        <v>53.56</v>
      </c>
      <c r="C89" s="81" t="s">
        <v>304</v>
      </c>
      <c r="D89" s="80" t="s">
        <v>300</v>
      </c>
      <c r="E89" s="79" t="str">
        <f t="shared" si="1"/>
        <v>TC88</v>
      </c>
      <c r="F89" s="80" t="s">
        <v>473</v>
      </c>
      <c r="G89" s="82" t="s">
        <v>292</v>
      </c>
      <c r="H89" s="80" t="s">
        <v>474</v>
      </c>
      <c r="I89" s="82" t="s">
        <v>423</v>
      </c>
      <c r="J89" s="83"/>
    </row>
    <row r="90" ht="15.75" customHeight="1">
      <c r="A90" s="79">
        <f t="shared" si="2"/>
        <v>89</v>
      </c>
      <c r="B90" s="80">
        <v>56.0</v>
      </c>
      <c r="C90" s="81" t="s">
        <v>290</v>
      </c>
      <c r="D90" s="80" t="s">
        <v>309</v>
      </c>
      <c r="E90" s="79" t="str">
        <f t="shared" si="1"/>
        <v>TC89</v>
      </c>
      <c r="F90" s="80" t="s">
        <v>475</v>
      </c>
      <c r="G90" s="82" t="s">
        <v>292</v>
      </c>
      <c r="H90" s="80" t="s">
        <v>476</v>
      </c>
      <c r="I90" s="82" t="s">
        <v>423</v>
      </c>
      <c r="J90" s="83"/>
    </row>
    <row r="91" ht="15.75" customHeight="1">
      <c r="A91" s="79">
        <f t="shared" si="2"/>
        <v>90</v>
      </c>
      <c r="B91" s="80">
        <v>54.57</v>
      </c>
      <c r="C91" s="81" t="s">
        <v>304</v>
      </c>
      <c r="D91" s="80" t="s">
        <v>296</v>
      </c>
      <c r="E91" s="79" t="str">
        <f t="shared" si="1"/>
        <v>TC90</v>
      </c>
      <c r="F91" s="80" t="s">
        <v>477</v>
      </c>
      <c r="G91" s="82" t="s">
        <v>292</v>
      </c>
      <c r="H91" s="80" t="s">
        <v>478</v>
      </c>
      <c r="I91" s="82" t="s">
        <v>423</v>
      </c>
      <c r="J91" s="83"/>
    </row>
    <row r="92" ht="15.75" customHeight="1">
      <c r="A92" s="79">
        <f t="shared" si="2"/>
        <v>91</v>
      </c>
      <c r="B92" s="80">
        <v>54.57</v>
      </c>
      <c r="C92" s="81" t="s">
        <v>304</v>
      </c>
      <c r="D92" s="80" t="s">
        <v>300</v>
      </c>
      <c r="E92" s="79" t="str">
        <f t="shared" si="1"/>
        <v>TC91</v>
      </c>
      <c r="F92" s="80" t="s">
        <v>479</v>
      </c>
      <c r="G92" s="82" t="s">
        <v>292</v>
      </c>
      <c r="H92" s="80" t="s">
        <v>480</v>
      </c>
      <c r="I92" s="82" t="s">
        <v>423</v>
      </c>
      <c r="J92" s="83"/>
    </row>
    <row r="93" ht="15.75" customHeight="1">
      <c r="A93" s="79">
        <f t="shared" si="2"/>
        <v>92</v>
      </c>
      <c r="B93" s="80">
        <v>57.0</v>
      </c>
      <c r="C93" s="81" t="s">
        <v>290</v>
      </c>
      <c r="D93" s="80" t="s">
        <v>309</v>
      </c>
      <c r="E93" s="79" t="str">
        <f t="shared" si="1"/>
        <v>TC92</v>
      </c>
      <c r="F93" s="80" t="s">
        <v>481</v>
      </c>
      <c r="G93" s="82" t="s">
        <v>292</v>
      </c>
      <c r="H93" s="80" t="s">
        <v>482</v>
      </c>
      <c r="I93" s="82" t="s">
        <v>423</v>
      </c>
      <c r="J93" s="83"/>
    </row>
    <row r="94" ht="15.75" customHeight="1">
      <c r="A94" s="86"/>
      <c r="B94" s="87"/>
      <c r="C94" s="88"/>
      <c r="D94" s="87"/>
      <c r="E94" s="86"/>
      <c r="F94" s="87"/>
      <c r="G94" s="89"/>
      <c r="H94" s="87"/>
      <c r="I94" s="89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</row>
    <row r="95" ht="15.75" customHeight="1">
      <c r="C95" s="90"/>
    </row>
    <row r="96" ht="15.75" customHeight="1">
      <c r="C96" s="90"/>
    </row>
    <row r="97" ht="15.75" customHeight="1">
      <c r="C97" s="90"/>
    </row>
    <row r="98" ht="15.75" customHeight="1">
      <c r="C98" s="90"/>
    </row>
    <row r="99" ht="15.75" customHeight="1">
      <c r="C99" s="90"/>
    </row>
    <row r="100" ht="15.75" customHeight="1">
      <c r="C100" s="90"/>
    </row>
    <row r="101" ht="15.75" customHeight="1">
      <c r="C101" s="90"/>
    </row>
    <row r="102" ht="15.75" customHeight="1">
      <c r="C102" s="90"/>
    </row>
    <row r="103" ht="15.75" customHeight="1">
      <c r="C103" s="90"/>
    </row>
    <row r="104" ht="15.75" customHeight="1">
      <c r="C104" s="90"/>
    </row>
    <row r="105" ht="15.75" customHeight="1">
      <c r="C105" s="90"/>
    </row>
    <row r="106" ht="15.75" customHeight="1">
      <c r="C106" s="90"/>
    </row>
    <row r="107" ht="15.75" customHeight="1">
      <c r="C107" s="90"/>
    </row>
    <row r="108" ht="15.75" customHeight="1">
      <c r="C108" s="90"/>
    </row>
    <row r="109" ht="15.75" customHeight="1">
      <c r="C109" s="90"/>
    </row>
    <row r="110" ht="15.75" customHeight="1">
      <c r="C110" s="90"/>
    </row>
    <row r="111" ht="15.75" customHeight="1">
      <c r="C111" s="90"/>
    </row>
    <row r="112" ht="15.75" customHeight="1">
      <c r="C112" s="90"/>
    </row>
    <row r="113" ht="15.75" customHeight="1">
      <c r="C113" s="90"/>
    </row>
    <row r="114" ht="15.75" customHeight="1">
      <c r="C114" s="90"/>
    </row>
    <row r="115" ht="15.75" customHeight="1">
      <c r="C115" s="90"/>
    </row>
    <row r="116" ht="15.75" customHeight="1">
      <c r="C116" s="90"/>
    </row>
    <row r="117" ht="15.75" customHeight="1">
      <c r="C117" s="90"/>
    </row>
    <row r="118" ht="15.75" customHeight="1">
      <c r="C118" s="90"/>
    </row>
    <row r="119" ht="15.75" customHeight="1">
      <c r="C119" s="90"/>
    </row>
    <row r="120" ht="15.75" customHeight="1">
      <c r="C120" s="90"/>
    </row>
    <row r="121" ht="15.75" customHeight="1">
      <c r="C121" s="90"/>
    </row>
    <row r="122" ht="15.75" customHeight="1">
      <c r="C122" s="90"/>
    </row>
    <row r="123" ht="15.75" customHeight="1">
      <c r="C123" s="90"/>
    </row>
    <row r="124" ht="15.75" customHeight="1">
      <c r="C124" s="90"/>
    </row>
    <row r="125" ht="15.75" customHeight="1">
      <c r="C125" s="90"/>
    </row>
    <row r="126" ht="15.75" customHeight="1">
      <c r="C126" s="90"/>
    </row>
    <row r="127" ht="15.75" customHeight="1">
      <c r="C127" s="90"/>
    </row>
    <row r="128" ht="15.75" customHeight="1">
      <c r="C128" s="90"/>
    </row>
    <row r="129" ht="15.75" customHeight="1">
      <c r="C129" s="90"/>
    </row>
    <row r="130" ht="15.75" customHeight="1">
      <c r="C130" s="90"/>
    </row>
    <row r="131" ht="15.75" customHeight="1">
      <c r="C131" s="90"/>
    </row>
    <row r="132" ht="15.75" customHeight="1">
      <c r="C132" s="90"/>
    </row>
    <row r="133" ht="15.75" customHeight="1">
      <c r="C133" s="90"/>
    </row>
    <row r="134" ht="15.75" customHeight="1">
      <c r="C134" s="90"/>
    </row>
    <row r="135" ht="15.75" customHeight="1">
      <c r="C135" s="90"/>
    </row>
    <row r="136" ht="15.75" customHeight="1">
      <c r="C136" s="90"/>
    </row>
    <row r="137" ht="15.75" customHeight="1">
      <c r="C137" s="90"/>
    </row>
    <row r="138" ht="15.75" customHeight="1">
      <c r="C138" s="90"/>
    </row>
    <row r="139" ht="15.75" customHeight="1">
      <c r="C139" s="90"/>
    </row>
    <row r="140" ht="15.75" customHeight="1">
      <c r="C140" s="90"/>
    </row>
    <row r="141" ht="15.75" customHeight="1">
      <c r="C141" s="90"/>
    </row>
    <row r="142" ht="15.75" customHeight="1">
      <c r="C142" s="90"/>
    </row>
    <row r="143" ht="15.75" customHeight="1">
      <c r="C143" s="90"/>
    </row>
    <row r="144" ht="15.75" customHeight="1">
      <c r="C144" s="90"/>
    </row>
    <row r="145" ht="15.75" customHeight="1">
      <c r="C145" s="90"/>
    </row>
    <row r="146" ht="15.75" customHeight="1">
      <c r="C146" s="90"/>
    </row>
    <row r="147" ht="15.75" customHeight="1">
      <c r="C147" s="90"/>
    </row>
    <row r="148" ht="15.75" customHeight="1">
      <c r="C148" s="90"/>
    </row>
    <row r="149" ht="15.75" customHeight="1">
      <c r="C149" s="90"/>
    </row>
    <row r="150" ht="15.75" customHeight="1">
      <c r="C150" s="90"/>
    </row>
    <row r="151" ht="15.75" customHeight="1">
      <c r="C151" s="90"/>
    </row>
    <row r="152" ht="15.75" customHeight="1">
      <c r="C152" s="90"/>
    </row>
    <row r="153" ht="15.75" customHeight="1">
      <c r="C153" s="90"/>
    </row>
    <row r="154" ht="15.75" customHeight="1">
      <c r="C154" s="90"/>
    </row>
    <row r="155" ht="15.75" customHeight="1">
      <c r="C155" s="90"/>
    </row>
    <row r="156" ht="15.75" customHeight="1">
      <c r="C156" s="90"/>
    </row>
    <row r="157" ht="15.75" customHeight="1">
      <c r="C157" s="90"/>
    </row>
    <row r="158" ht="15.75" customHeight="1">
      <c r="C158" s="90"/>
    </row>
    <row r="159" ht="15.75" customHeight="1">
      <c r="C159" s="90"/>
    </row>
    <row r="160" ht="15.75" customHeight="1">
      <c r="C160" s="90"/>
    </row>
    <row r="161" ht="15.75" customHeight="1">
      <c r="C161" s="90"/>
    </row>
    <row r="162" ht="15.75" customHeight="1">
      <c r="C162" s="90"/>
    </row>
    <row r="163" ht="15.75" customHeight="1">
      <c r="C163" s="90"/>
    </row>
    <row r="164" ht="15.75" customHeight="1">
      <c r="C164" s="90"/>
    </row>
    <row r="165" ht="15.75" customHeight="1">
      <c r="C165" s="90"/>
    </row>
    <row r="166" ht="15.75" customHeight="1">
      <c r="C166" s="90"/>
    </row>
    <row r="167" ht="15.75" customHeight="1">
      <c r="C167" s="90"/>
    </row>
    <row r="168" ht="15.75" customHeight="1">
      <c r="C168" s="90"/>
    </row>
    <row r="169" ht="15.75" customHeight="1">
      <c r="C169" s="90"/>
    </row>
    <row r="170" ht="15.75" customHeight="1">
      <c r="C170" s="90"/>
    </row>
    <row r="171" ht="15.75" customHeight="1">
      <c r="C171" s="90"/>
    </row>
    <row r="172" ht="15.75" customHeight="1">
      <c r="C172" s="90"/>
    </row>
    <row r="173" ht="15.75" customHeight="1">
      <c r="C173" s="90"/>
    </row>
    <row r="174" ht="15.75" customHeight="1">
      <c r="C174" s="90"/>
    </row>
    <row r="175" ht="15.75" customHeight="1">
      <c r="C175" s="90"/>
    </row>
    <row r="176" ht="15.75" customHeight="1">
      <c r="C176" s="90"/>
    </row>
    <row r="177" ht="15.75" customHeight="1">
      <c r="C177" s="90"/>
    </row>
    <row r="178" ht="15.75" customHeight="1">
      <c r="C178" s="90"/>
    </row>
    <row r="179" ht="15.75" customHeight="1">
      <c r="C179" s="90"/>
    </row>
    <row r="180" ht="15.75" customHeight="1">
      <c r="C180" s="90"/>
    </row>
    <row r="181" ht="15.75" customHeight="1">
      <c r="C181" s="90"/>
    </row>
    <row r="182" ht="15.75" customHeight="1">
      <c r="C182" s="90"/>
    </row>
    <row r="183" ht="15.75" customHeight="1">
      <c r="C183" s="90"/>
    </row>
    <row r="184" ht="15.75" customHeight="1">
      <c r="C184" s="90"/>
    </row>
    <row r="185" ht="15.75" customHeight="1">
      <c r="C185" s="90"/>
    </row>
    <row r="186" ht="15.75" customHeight="1">
      <c r="C186" s="90"/>
    </row>
    <row r="187" ht="15.75" customHeight="1">
      <c r="C187" s="90"/>
    </row>
    <row r="188" ht="15.75" customHeight="1">
      <c r="C188" s="90"/>
    </row>
    <row r="189" ht="15.75" customHeight="1">
      <c r="C189" s="90"/>
    </row>
    <row r="190" ht="15.75" customHeight="1">
      <c r="C190" s="90"/>
    </row>
    <row r="191" ht="15.75" customHeight="1">
      <c r="C191" s="90"/>
    </row>
    <row r="192" ht="15.75" customHeight="1">
      <c r="C192" s="90"/>
    </row>
    <row r="193" ht="15.75" customHeight="1">
      <c r="C193" s="90"/>
    </row>
    <row r="194" ht="15.75" customHeight="1">
      <c r="C194" s="90"/>
    </row>
    <row r="195" ht="15.75" customHeight="1">
      <c r="C195" s="90"/>
    </row>
    <row r="196" ht="15.75" customHeight="1">
      <c r="C196" s="90"/>
    </row>
    <row r="197" ht="15.75" customHeight="1">
      <c r="C197" s="90"/>
    </row>
    <row r="198" ht="15.75" customHeight="1">
      <c r="C198" s="90"/>
    </row>
    <row r="199" ht="15.75" customHeight="1">
      <c r="C199" s="90"/>
    </row>
    <row r="200" ht="15.75" customHeight="1">
      <c r="C200" s="90"/>
    </row>
    <row r="201" ht="15.75" customHeight="1">
      <c r="C201" s="90"/>
    </row>
    <row r="202" ht="15.75" customHeight="1">
      <c r="C202" s="90"/>
    </row>
    <row r="203" ht="15.75" customHeight="1">
      <c r="C203" s="90"/>
    </row>
    <row r="204" ht="15.75" customHeight="1">
      <c r="C204" s="90"/>
    </row>
    <row r="205" ht="15.75" customHeight="1">
      <c r="C205" s="90"/>
    </row>
    <row r="206" ht="15.75" customHeight="1">
      <c r="C206" s="90"/>
    </row>
    <row r="207" ht="15.75" customHeight="1">
      <c r="C207" s="90"/>
    </row>
    <row r="208" ht="15.75" customHeight="1">
      <c r="C208" s="90"/>
    </row>
    <row r="209" ht="15.75" customHeight="1">
      <c r="C209" s="90"/>
    </row>
    <row r="210" ht="15.75" customHeight="1">
      <c r="C210" s="90"/>
    </row>
    <row r="211" ht="15.75" customHeight="1">
      <c r="C211" s="90"/>
    </row>
    <row r="212" ht="15.75" customHeight="1">
      <c r="C212" s="90"/>
    </row>
    <row r="213" ht="15.75" customHeight="1">
      <c r="C213" s="90"/>
    </row>
    <row r="214" ht="15.75" customHeight="1">
      <c r="C214" s="90"/>
    </row>
    <row r="215" ht="15.75" customHeight="1">
      <c r="C215" s="90"/>
    </row>
    <row r="216" ht="15.75" customHeight="1">
      <c r="C216" s="90"/>
    </row>
    <row r="217" ht="15.75" customHeight="1">
      <c r="C217" s="90"/>
    </row>
    <row r="218" ht="15.75" customHeight="1">
      <c r="C218" s="90"/>
    </row>
    <row r="219" ht="15.75" customHeight="1">
      <c r="C219" s="90"/>
    </row>
    <row r="220" ht="15.75" customHeight="1">
      <c r="C220" s="90"/>
    </row>
    <row r="221" ht="15.75" customHeight="1">
      <c r="C221" s="90"/>
    </row>
    <row r="222" ht="15.75" customHeight="1">
      <c r="C222" s="90"/>
    </row>
    <row r="223" ht="15.75" customHeight="1">
      <c r="C223" s="90"/>
    </row>
    <row r="224" ht="15.75" customHeight="1">
      <c r="C224" s="90"/>
    </row>
    <row r="225" ht="15.75" customHeight="1">
      <c r="C225" s="90"/>
    </row>
    <row r="226" ht="15.75" customHeight="1">
      <c r="C226" s="90"/>
    </row>
    <row r="227" ht="15.75" customHeight="1">
      <c r="C227" s="90"/>
    </row>
    <row r="228" ht="15.75" customHeight="1">
      <c r="C228" s="90"/>
    </row>
    <row r="229" ht="15.75" customHeight="1">
      <c r="C229" s="90"/>
    </row>
    <row r="230" ht="15.75" customHeight="1">
      <c r="C230" s="90"/>
    </row>
    <row r="231" ht="15.75" customHeight="1">
      <c r="C231" s="90"/>
    </row>
    <row r="232" ht="15.75" customHeight="1">
      <c r="C232" s="90"/>
    </row>
    <row r="233" ht="15.75" customHeight="1">
      <c r="C233" s="90"/>
    </row>
    <row r="234" ht="15.75" customHeight="1">
      <c r="C234" s="90"/>
    </row>
    <row r="235" ht="15.75" customHeight="1">
      <c r="C235" s="90"/>
    </row>
    <row r="236" ht="15.75" customHeight="1">
      <c r="C236" s="90"/>
    </row>
    <row r="237" ht="15.75" customHeight="1">
      <c r="C237" s="90"/>
    </row>
    <row r="238" ht="15.75" customHeight="1">
      <c r="C238" s="90"/>
    </row>
    <row r="239" ht="15.75" customHeight="1">
      <c r="C239" s="90"/>
    </row>
    <row r="240" ht="15.75" customHeight="1">
      <c r="C240" s="90"/>
    </row>
    <row r="241" ht="15.75" customHeight="1">
      <c r="C241" s="90"/>
    </row>
    <row r="242" ht="15.75" customHeight="1">
      <c r="C242" s="90"/>
    </row>
    <row r="243" ht="15.75" customHeight="1">
      <c r="C243" s="90"/>
    </row>
    <row r="244" ht="15.75" customHeight="1">
      <c r="C244" s="90"/>
    </row>
    <row r="245" ht="15.75" customHeight="1">
      <c r="C245" s="90"/>
    </row>
    <row r="246" ht="15.75" customHeight="1">
      <c r="C246" s="90"/>
    </row>
    <row r="247" ht="15.75" customHeight="1">
      <c r="C247" s="90"/>
    </row>
    <row r="248" ht="15.75" customHeight="1">
      <c r="C248" s="90"/>
    </row>
    <row r="249" ht="15.75" customHeight="1">
      <c r="C249" s="90"/>
    </row>
    <row r="250" ht="15.75" customHeight="1">
      <c r="C250" s="90"/>
    </row>
    <row r="251" ht="15.75" customHeight="1">
      <c r="C251" s="90"/>
    </row>
    <row r="252" ht="15.75" customHeight="1">
      <c r="C252" s="90"/>
    </row>
    <row r="253" ht="15.75" customHeight="1">
      <c r="C253" s="90"/>
    </row>
    <row r="254" ht="15.75" customHeight="1">
      <c r="C254" s="90"/>
    </row>
    <row r="255" ht="15.75" customHeight="1">
      <c r="C255" s="90"/>
    </row>
    <row r="256" ht="15.75" customHeight="1">
      <c r="C256" s="90"/>
    </row>
    <row r="257" ht="15.75" customHeight="1">
      <c r="C257" s="90"/>
    </row>
    <row r="258" ht="15.75" customHeight="1">
      <c r="C258" s="90"/>
    </row>
    <row r="259" ht="15.75" customHeight="1">
      <c r="C259" s="90"/>
    </row>
    <row r="260" ht="15.75" customHeight="1">
      <c r="C260" s="90"/>
    </row>
    <row r="261" ht="15.75" customHeight="1">
      <c r="C261" s="90"/>
    </row>
    <row r="262" ht="15.75" customHeight="1">
      <c r="C262" s="90"/>
    </row>
    <row r="263" ht="15.75" customHeight="1">
      <c r="C263" s="90"/>
    </row>
    <row r="264" ht="15.75" customHeight="1">
      <c r="C264" s="90"/>
    </row>
    <row r="265" ht="15.75" customHeight="1">
      <c r="C265" s="90"/>
    </row>
    <row r="266" ht="15.75" customHeight="1">
      <c r="C266" s="90"/>
    </row>
    <row r="267" ht="15.75" customHeight="1">
      <c r="C267" s="90"/>
    </row>
    <row r="268" ht="15.75" customHeight="1">
      <c r="C268" s="90"/>
    </row>
    <row r="269" ht="15.75" customHeight="1">
      <c r="C269" s="90"/>
    </row>
    <row r="270" ht="15.75" customHeight="1">
      <c r="C270" s="90"/>
    </row>
    <row r="271" ht="15.75" customHeight="1">
      <c r="C271" s="90"/>
    </row>
    <row r="272" ht="15.75" customHeight="1">
      <c r="C272" s="90"/>
    </row>
    <row r="273" ht="15.75" customHeight="1">
      <c r="C273" s="90"/>
    </row>
    <row r="274" ht="15.75" customHeight="1">
      <c r="C274" s="90"/>
    </row>
    <row r="275" ht="15.75" customHeight="1">
      <c r="C275" s="90"/>
    </row>
    <row r="276" ht="15.75" customHeight="1">
      <c r="C276" s="90"/>
    </row>
    <row r="277" ht="15.75" customHeight="1">
      <c r="C277" s="90"/>
    </row>
    <row r="278" ht="15.75" customHeight="1">
      <c r="C278" s="90"/>
    </row>
    <row r="279" ht="15.75" customHeight="1">
      <c r="C279" s="90"/>
    </row>
    <row r="280" ht="15.75" customHeight="1">
      <c r="C280" s="90"/>
    </row>
    <row r="281" ht="15.75" customHeight="1">
      <c r="C281" s="90"/>
    </row>
    <row r="282" ht="15.75" customHeight="1">
      <c r="C282" s="90"/>
    </row>
    <row r="283" ht="15.75" customHeight="1">
      <c r="C283" s="90"/>
    </row>
    <row r="284" ht="15.75" customHeight="1">
      <c r="C284" s="90"/>
    </row>
    <row r="285" ht="15.75" customHeight="1">
      <c r="C285" s="90"/>
    </row>
    <row r="286" ht="15.75" customHeight="1">
      <c r="C286" s="90"/>
    </row>
    <row r="287" ht="15.75" customHeight="1">
      <c r="C287" s="90"/>
    </row>
    <row r="288" ht="15.75" customHeight="1">
      <c r="C288" s="90"/>
    </row>
    <row r="289" ht="15.75" customHeight="1">
      <c r="C289" s="90"/>
    </row>
    <row r="290" ht="15.75" customHeight="1">
      <c r="C290" s="90"/>
    </row>
    <row r="291" ht="15.75" customHeight="1">
      <c r="C291" s="90"/>
    </row>
    <row r="292" ht="15.75" customHeight="1">
      <c r="C292" s="90"/>
    </row>
    <row r="293" ht="15.75" customHeight="1">
      <c r="C293" s="90"/>
    </row>
    <row r="294" ht="15.75" customHeight="1">
      <c r="C294" s="90"/>
    </row>
    <row r="295" ht="15.75" customHeight="1">
      <c r="C295" s="90"/>
    </row>
    <row r="296" ht="15.75" customHeight="1">
      <c r="C296" s="90"/>
    </row>
    <row r="297" ht="15.75" customHeight="1">
      <c r="C297" s="90"/>
    </row>
    <row r="298" ht="15.75" customHeight="1">
      <c r="C298" s="90"/>
    </row>
    <row r="299" ht="15.75" customHeight="1">
      <c r="C299" s="90"/>
    </row>
    <row r="300" ht="15.75" customHeight="1">
      <c r="C300" s="90"/>
    </row>
    <row r="301" ht="15.75" customHeight="1">
      <c r="C301" s="90"/>
    </row>
    <row r="302" ht="15.75" customHeight="1">
      <c r="C302" s="90"/>
    </row>
    <row r="303" ht="15.75" customHeight="1">
      <c r="C303" s="90"/>
    </row>
    <row r="304" ht="15.75" customHeight="1">
      <c r="C304" s="90"/>
    </row>
    <row r="305" ht="15.75" customHeight="1">
      <c r="C305" s="90"/>
    </row>
    <row r="306" ht="15.75" customHeight="1">
      <c r="C306" s="90"/>
    </row>
    <row r="307" ht="15.75" customHeight="1">
      <c r="C307" s="90"/>
    </row>
    <row r="308" ht="15.75" customHeight="1">
      <c r="C308" s="90"/>
    </row>
    <row r="309" ht="15.75" customHeight="1">
      <c r="C309" s="90"/>
    </row>
    <row r="310" ht="15.75" customHeight="1">
      <c r="C310" s="90"/>
    </row>
    <row r="311" ht="15.75" customHeight="1">
      <c r="C311" s="90"/>
    </row>
    <row r="312" ht="15.75" customHeight="1">
      <c r="C312" s="90"/>
    </row>
    <row r="313" ht="15.75" customHeight="1">
      <c r="C313" s="90"/>
    </row>
    <row r="314" ht="15.75" customHeight="1">
      <c r="C314" s="90"/>
    </row>
    <row r="315" ht="15.75" customHeight="1">
      <c r="C315" s="90"/>
    </row>
    <row r="316" ht="15.75" customHeight="1">
      <c r="C316" s="90"/>
    </row>
    <row r="317" ht="15.75" customHeight="1">
      <c r="C317" s="90"/>
    </row>
    <row r="318" ht="15.75" customHeight="1">
      <c r="C318" s="90"/>
    </row>
    <row r="319" ht="15.75" customHeight="1">
      <c r="C319" s="90"/>
    </row>
    <row r="320" ht="15.75" customHeight="1">
      <c r="C320" s="90"/>
    </row>
    <row r="321" ht="15.75" customHeight="1">
      <c r="C321" s="90"/>
    </row>
    <row r="322" ht="15.75" customHeight="1">
      <c r="C322" s="90"/>
    </row>
    <row r="323" ht="15.75" customHeight="1">
      <c r="C323" s="90"/>
    </row>
    <row r="324" ht="15.75" customHeight="1">
      <c r="C324" s="90"/>
    </row>
    <row r="325" ht="15.75" customHeight="1">
      <c r="C325" s="90"/>
    </row>
    <row r="326" ht="15.75" customHeight="1">
      <c r="C326" s="90"/>
    </row>
    <row r="327" ht="15.75" customHeight="1">
      <c r="C327" s="90"/>
    </row>
    <row r="328" ht="15.75" customHeight="1">
      <c r="C328" s="90"/>
    </row>
    <row r="329" ht="15.75" customHeight="1">
      <c r="C329" s="90"/>
    </row>
    <row r="330" ht="15.75" customHeight="1">
      <c r="C330" s="90"/>
    </row>
    <row r="331" ht="15.75" customHeight="1">
      <c r="C331" s="90"/>
    </row>
    <row r="332" ht="15.75" customHeight="1">
      <c r="C332" s="90"/>
    </row>
    <row r="333" ht="15.75" customHeight="1">
      <c r="C333" s="90"/>
    </row>
    <row r="334" ht="15.75" customHeight="1">
      <c r="C334" s="90"/>
    </row>
    <row r="335" ht="15.75" customHeight="1">
      <c r="C335" s="90"/>
    </row>
    <row r="336" ht="15.75" customHeight="1">
      <c r="C336" s="90"/>
    </row>
    <row r="337" ht="15.75" customHeight="1">
      <c r="C337" s="90"/>
    </row>
    <row r="338" ht="15.75" customHeight="1">
      <c r="C338" s="90"/>
    </row>
    <row r="339" ht="15.75" customHeight="1">
      <c r="C339" s="90"/>
    </row>
    <row r="340" ht="15.75" customHeight="1">
      <c r="C340" s="90"/>
    </row>
    <row r="341" ht="15.75" customHeight="1">
      <c r="C341" s="90"/>
    </row>
    <row r="342" ht="15.75" customHeight="1">
      <c r="C342" s="90"/>
    </row>
    <row r="343" ht="15.75" customHeight="1">
      <c r="C343" s="90"/>
    </row>
    <row r="344" ht="15.75" customHeight="1">
      <c r="C344" s="90"/>
    </row>
    <row r="345" ht="15.75" customHeight="1">
      <c r="C345" s="90"/>
    </row>
    <row r="346" ht="15.75" customHeight="1">
      <c r="C346" s="90"/>
    </row>
    <row r="347" ht="15.75" customHeight="1">
      <c r="C347" s="90"/>
    </row>
    <row r="348" ht="15.75" customHeight="1">
      <c r="C348" s="90"/>
    </row>
    <row r="349" ht="15.75" customHeight="1">
      <c r="C349" s="90"/>
    </row>
    <row r="350" ht="15.75" customHeight="1">
      <c r="C350" s="90"/>
    </row>
    <row r="351" ht="15.75" customHeight="1">
      <c r="C351" s="90"/>
    </row>
    <row r="352" ht="15.75" customHeight="1">
      <c r="C352" s="90"/>
    </row>
    <row r="353" ht="15.75" customHeight="1">
      <c r="C353" s="90"/>
    </row>
    <row r="354" ht="15.75" customHeight="1">
      <c r="C354" s="90"/>
    </row>
    <row r="355" ht="15.75" customHeight="1">
      <c r="C355" s="90"/>
    </row>
    <row r="356" ht="15.75" customHeight="1">
      <c r="C356" s="90"/>
    </row>
    <row r="357" ht="15.75" customHeight="1">
      <c r="C357" s="90"/>
    </row>
    <row r="358" ht="15.75" customHeight="1">
      <c r="C358" s="90"/>
    </row>
    <row r="359" ht="15.75" customHeight="1">
      <c r="C359" s="90"/>
    </row>
    <row r="360" ht="15.75" customHeight="1">
      <c r="C360" s="90"/>
    </row>
    <row r="361" ht="15.75" customHeight="1">
      <c r="C361" s="90"/>
    </row>
    <row r="362" ht="15.75" customHeight="1">
      <c r="C362" s="90"/>
    </row>
    <row r="363" ht="15.75" customHeight="1">
      <c r="C363" s="90"/>
    </row>
    <row r="364" ht="15.75" customHeight="1">
      <c r="C364" s="90"/>
    </row>
    <row r="365" ht="15.75" customHeight="1">
      <c r="C365" s="90"/>
    </row>
    <row r="366" ht="15.75" customHeight="1">
      <c r="C366" s="90"/>
    </row>
    <row r="367" ht="15.75" customHeight="1">
      <c r="C367" s="90"/>
    </row>
    <row r="368" ht="15.75" customHeight="1">
      <c r="C368" s="90"/>
    </row>
    <row r="369" ht="15.75" customHeight="1">
      <c r="C369" s="90"/>
    </row>
    <row r="370" ht="15.75" customHeight="1">
      <c r="C370" s="90"/>
    </row>
    <row r="371" ht="15.75" customHeight="1">
      <c r="C371" s="90"/>
    </row>
    <row r="372" ht="15.75" customHeight="1">
      <c r="C372" s="90"/>
    </row>
    <row r="373" ht="15.75" customHeight="1">
      <c r="C373" s="90"/>
    </row>
    <row r="374" ht="15.75" customHeight="1">
      <c r="C374" s="90"/>
    </row>
    <row r="375" ht="15.75" customHeight="1">
      <c r="C375" s="90"/>
    </row>
    <row r="376" ht="15.75" customHeight="1">
      <c r="C376" s="90"/>
    </row>
    <row r="377" ht="15.75" customHeight="1">
      <c r="C377" s="90"/>
    </row>
    <row r="378" ht="15.75" customHeight="1">
      <c r="C378" s="90"/>
    </row>
    <row r="379" ht="15.75" customHeight="1">
      <c r="C379" s="90"/>
    </row>
    <row r="380" ht="15.75" customHeight="1">
      <c r="C380" s="90"/>
    </row>
    <row r="381" ht="15.75" customHeight="1">
      <c r="C381" s="90"/>
    </row>
    <row r="382" ht="15.75" customHeight="1">
      <c r="C382" s="90"/>
    </row>
    <row r="383" ht="15.75" customHeight="1">
      <c r="C383" s="90"/>
    </row>
    <row r="384" ht="15.75" customHeight="1">
      <c r="C384" s="90"/>
    </row>
    <row r="385" ht="15.75" customHeight="1">
      <c r="C385" s="90"/>
    </row>
    <row r="386" ht="15.75" customHeight="1">
      <c r="C386" s="90"/>
    </row>
    <row r="387" ht="15.75" customHeight="1">
      <c r="C387" s="90"/>
    </row>
    <row r="388" ht="15.75" customHeight="1">
      <c r="C388" s="90"/>
    </row>
    <row r="389" ht="15.75" customHeight="1">
      <c r="C389" s="90"/>
    </row>
    <row r="390" ht="15.75" customHeight="1">
      <c r="C390" s="90"/>
    </row>
    <row r="391" ht="15.75" customHeight="1">
      <c r="C391" s="90"/>
    </row>
    <row r="392" ht="15.75" customHeight="1">
      <c r="C392" s="90"/>
    </row>
    <row r="393" ht="15.75" customHeight="1">
      <c r="C393" s="90"/>
    </row>
    <row r="394" ht="15.75" customHeight="1">
      <c r="C394" s="90"/>
    </row>
    <row r="395" ht="15.75" customHeight="1">
      <c r="C395" s="90"/>
    </row>
    <row r="396" ht="15.75" customHeight="1">
      <c r="C396" s="90"/>
    </row>
    <row r="397" ht="15.75" customHeight="1">
      <c r="C397" s="90"/>
    </row>
    <row r="398" ht="15.75" customHeight="1">
      <c r="C398" s="90"/>
    </row>
    <row r="399" ht="15.75" customHeight="1">
      <c r="C399" s="90"/>
    </row>
    <row r="400" ht="15.75" customHeight="1">
      <c r="C400" s="90"/>
    </row>
    <row r="401" ht="15.75" customHeight="1">
      <c r="C401" s="90"/>
    </row>
    <row r="402" ht="15.75" customHeight="1">
      <c r="C402" s="90"/>
    </row>
    <row r="403" ht="15.75" customHeight="1">
      <c r="C403" s="90"/>
    </row>
    <row r="404" ht="15.75" customHeight="1">
      <c r="C404" s="90"/>
    </row>
    <row r="405" ht="15.75" customHeight="1">
      <c r="C405" s="90"/>
    </row>
    <row r="406" ht="15.75" customHeight="1">
      <c r="C406" s="90"/>
    </row>
    <row r="407" ht="15.75" customHeight="1">
      <c r="C407" s="90"/>
    </row>
    <row r="408" ht="15.75" customHeight="1">
      <c r="C408" s="90"/>
    </row>
    <row r="409" ht="15.75" customHeight="1">
      <c r="C409" s="90"/>
    </row>
    <row r="410" ht="15.75" customHeight="1">
      <c r="C410" s="90"/>
    </row>
    <row r="411" ht="15.75" customHeight="1">
      <c r="C411" s="90"/>
    </row>
    <row r="412" ht="15.75" customHeight="1">
      <c r="C412" s="90"/>
    </row>
    <row r="413" ht="15.75" customHeight="1">
      <c r="C413" s="90"/>
    </row>
    <row r="414" ht="15.75" customHeight="1">
      <c r="C414" s="90"/>
    </row>
    <row r="415" ht="15.75" customHeight="1">
      <c r="C415" s="90"/>
    </row>
    <row r="416" ht="15.75" customHeight="1">
      <c r="C416" s="90"/>
    </row>
    <row r="417" ht="15.75" customHeight="1">
      <c r="C417" s="90"/>
    </row>
    <row r="418" ht="15.75" customHeight="1">
      <c r="C418" s="90"/>
    </row>
    <row r="419" ht="15.75" customHeight="1">
      <c r="C419" s="90"/>
    </row>
    <row r="420" ht="15.75" customHeight="1">
      <c r="C420" s="90"/>
    </row>
    <row r="421" ht="15.75" customHeight="1">
      <c r="C421" s="90"/>
    </row>
    <row r="422" ht="15.75" customHeight="1">
      <c r="C422" s="90"/>
    </row>
    <row r="423" ht="15.75" customHeight="1">
      <c r="C423" s="90"/>
    </row>
    <row r="424" ht="15.75" customHeight="1">
      <c r="C424" s="90"/>
    </row>
    <row r="425" ht="15.75" customHeight="1">
      <c r="C425" s="90"/>
    </row>
    <row r="426" ht="15.75" customHeight="1">
      <c r="C426" s="90"/>
    </row>
    <row r="427" ht="15.75" customHeight="1">
      <c r="C427" s="90"/>
    </row>
    <row r="428" ht="15.75" customHeight="1">
      <c r="C428" s="90"/>
    </row>
    <row r="429" ht="15.75" customHeight="1">
      <c r="C429" s="90"/>
    </row>
    <row r="430" ht="15.75" customHeight="1">
      <c r="C430" s="90"/>
    </row>
    <row r="431" ht="15.75" customHeight="1">
      <c r="C431" s="90"/>
    </row>
    <row r="432" ht="15.75" customHeight="1">
      <c r="C432" s="90"/>
    </row>
    <row r="433" ht="15.75" customHeight="1">
      <c r="C433" s="90"/>
    </row>
    <row r="434" ht="15.75" customHeight="1">
      <c r="C434" s="90"/>
    </row>
    <row r="435" ht="15.75" customHeight="1">
      <c r="C435" s="90"/>
    </row>
    <row r="436" ht="15.75" customHeight="1">
      <c r="C436" s="90"/>
    </row>
    <row r="437" ht="15.75" customHeight="1">
      <c r="C437" s="90"/>
    </row>
    <row r="438" ht="15.75" customHeight="1">
      <c r="C438" s="90"/>
    </row>
    <row r="439" ht="15.75" customHeight="1">
      <c r="C439" s="90"/>
    </row>
    <row r="440" ht="15.75" customHeight="1">
      <c r="C440" s="90"/>
    </row>
    <row r="441" ht="15.75" customHeight="1">
      <c r="C441" s="90"/>
    </row>
    <row r="442" ht="15.75" customHeight="1">
      <c r="C442" s="90"/>
    </row>
    <row r="443" ht="15.75" customHeight="1">
      <c r="C443" s="90"/>
    </row>
    <row r="444" ht="15.75" customHeight="1">
      <c r="C444" s="90"/>
    </row>
    <row r="445" ht="15.75" customHeight="1">
      <c r="C445" s="90"/>
    </row>
    <row r="446" ht="15.75" customHeight="1">
      <c r="C446" s="90"/>
    </row>
    <row r="447" ht="15.75" customHeight="1">
      <c r="C447" s="90"/>
    </row>
    <row r="448" ht="15.75" customHeight="1">
      <c r="C448" s="90"/>
    </row>
    <row r="449" ht="15.75" customHeight="1">
      <c r="C449" s="90"/>
    </row>
    <row r="450" ht="15.75" customHeight="1">
      <c r="C450" s="90"/>
    </row>
    <row r="451" ht="15.75" customHeight="1">
      <c r="C451" s="90"/>
    </row>
    <row r="452" ht="15.75" customHeight="1">
      <c r="C452" s="90"/>
    </row>
    <row r="453" ht="15.75" customHeight="1">
      <c r="C453" s="90"/>
    </row>
    <row r="454" ht="15.75" customHeight="1">
      <c r="C454" s="90"/>
    </row>
    <row r="455" ht="15.75" customHeight="1">
      <c r="C455" s="90"/>
    </row>
    <row r="456" ht="15.75" customHeight="1">
      <c r="C456" s="90"/>
    </row>
    <row r="457" ht="15.75" customHeight="1">
      <c r="C457" s="90"/>
    </row>
    <row r="458" ht="15.75" customHeight="1">
      <c r="C458" s="90"/>
    </row>
    <row r="459" ht="15.75" customHeight="1">
      <c r="C459" s="90"/>
    </row>
    <row r="460" ht="15.75" customHeight="1">
      <c r="C460" s="90"/>
    </row>
    <row r="461" ht="15.75" customHeight="1">
      <c r="C461" s="90"/>
    </row>
    <row r="462" ht="15.75" customHeight="1">
      <c r="C462" s="90"/>
    </row>
    <row r="463" ht="15.75" customHeight="1">
      <c r="C463" s="90"/>
    </row>
    <row r="464" ht="15.75" customHeight="1">
      <c r="C464" s="90"/>
    </row>
    <row r="465" ht="15.75" customHeight="1">
      <c r="C465" s="90"/>
    </row>
    <row r="466" ht="15.75" customHeight="1">
      <c r="C466" s="90"/>
    </row>
    <row r="467" ht="15.75" customHeight="1">
      <c r="C467" s="90"/>
    </row>
    <row r="468" ht="15.75" customHeight="1">
      <c r="C468" s="90"/>
    </row>
    <row r="469" ht="15.75" customHeight="1">
      <c r="C469" s="90"/>
    </row>
    <row r="470" ht="15.75" customHeight="1">
      <c r="C470" s="90"/>
    </row>
    <row r="471" ht="15.75" customHeight="1">
      <c r="C471" s="90"/>
    </row>
    <row r="472" ht="15.75" customHeight="1">
      <c r="C472" s="90"/>
    </row>
    <row r="473" ht="15.75" customHeight="1">
      <c r="C473" s="90"/>
    </row>
    <row r="474" ht="15.75" customHeight="1">
      <c r="C474" s="90"/>
    </row>
    <row r="475" ht="15.75" customHeight="1">
      <c r="C475" s="90"/>
    </row>
    <row r="476" ht="15.75" customHeight="1">
      <c r="C476" s="90"/>
    </row>
    <row r="477" ht="15.75" customHeight="1">
      <c r="C477" s="90"/>
    </row>
    <row r="478" ht="15.75" customHeight="1">
      <c r="C478" s="90"/>
    </row>
    <row r="479" ht="15.75" customHeight="1">
      <c r="C479" s="90"/>
    </row>
    <row r="480" ht="15.75" customHeight="1">
      <c r="C480" s="90"/>
    </row>
    <row r="481" ht="15.75" customHeight="1">
      <c r="C481" s="90"/>
    </row>
    <row r="482" ht="15.75" customHeight="1">
      <c r="C482" s="90"/>
    </row>
    <row r="483" ht="15.75" customHeight="1">
      <c r="C483" s="90"/>
    </row>
    <row r="484" ht="15.75" customHeight="1">
      <c r="C484" s="90"/>
    </row>
    <row r="485" ht="15.75" customHeight="1">
      <c r="C485" s="90"/>
    </row>
    <row r="486" ht="15.75" customHeight="1">
      <c r="C486" s="90"/>
    </row>
    <row r="487" ht="15.75" customHeight="1">
      <c r="C487" s="90"/>
    </row>
    <row r="488" ht="15.75" customHeight="1">
      <c r="C488" s="90"/>
    </row>
    <row r="489" ht="15.75" customHeight="1">
      <c r="C489" s="90"/>
    </row>
    <row r="490" ht="15.75" customHeight="1">
      <c r="C490" s="90"/>
    </row>
    <row r="491" ht="15.75" customHeight="1">
      <c r="C491" s="90"/>
    </row>
    <row r="492" ht="15.75" customHeight="1">
      <c r="C492" s="90"/>
    </row>
    <row r="493" ht="15.75" customHeight="1">
      <c r="C493" s="90"/>
    </row>
    <row r="494" ht="15.75" customHeight="1">
      <c r="C494" s="90"/>
    </row>
    <row r="495" ht="15.75" customHeight="1">
      <c r="C495" s="90"/>
    </row>
    <row r="496" ht="15.75" customHeight="1">
      <c r="C496" s="90"/>
    </row>
    <row r="497" ht="15.75" customHeight="1">
      <c r="C497" s="90"/>
    </row>
    <row r="498" ht="15.75" customHeight="1">
      <c r="C498" s="90"/>
    </row>
    <row r="499" ht="15.75" customHeight="1">
      <c r="C499" s="90"/>
    </row>
    <row r="500" ht="15.75" customHeight="1">
      <c r="C500" s="90"/>
    </row>
    <row r="501" ht="15.75" customHeight="1">
      <c r="C501" s="90"/>
    </row>
    <row r="502" ht="15.75" customHeight="1">
      <c r="C502" s="90"/>
    </row>
    <row r="503" ht="15.75" customHeight="1">
      <c r="C503" s="90"/>
    </row>
    <row r="504" ht="15.75" customHeight="1">
      <c r="C504" s="90"/>
    </row>
    <row r="505" ht="15.75" customHeight="1">
      <c r="C505" s="90"/>
    </row>
    <row r="506" ht="15.75" customHeight="1">
      <c r="C506" s="90"/>
    </row>
    <row r="507" ht="15.75" customHeight="1">
      <c r="C507" s="90"/>
    </row>
    <row r="508" ht="15.75" customHeight="1">
      <c r="C508" s="90"/>
    </row>
    <row r="509" ht="15.75" customHeight="1">
      <c r="C509" s="90"/>
    </row>
    <row r="510" ht="15.75" customHeight="1">
      <c r="C510" s="90"/>
    </row>
    <row r="511" ht="15.75" customHeight="1">
      <c r="C511" s="90"/>
    </row>
    <row r="512" ht="15.75" customHeight="1">
      <c r="C512" s="90"/>
    </row>
    <row r="513" ht="15.75" customHeight="1">
      <c r="C513" s="90"/>
    </row>
    <row r="514" ht="15.75" customHeight="1">
      <c r="C514" s="90"/>
    </row>
    <row r="515" ht="15.75" customHeight="1">
      <c r="C515" s="90"/>
    </row>
    <row r="516" ht="15.75" customHeight="1">
      <c r="C516" s="90"/>
    </row>
    <row r="517" ht="15.75" customHeight="1">
      <c r="C517" s="90"/>
    </row>
    <row r="518" ht="15.75" customHeight="1">
      <c r="C518" s="90"/>
    </row>
    <row r="519" ht="15.75" customHeight="1">
      <c r="C519" s="90"/>
    </row>
    <row r="520" ht="15.75" customHeight="1">
      <c r="C520" s="90"/>
    </row>
    <row r="521" ht="15.75" customHeight="1">
      <c r="C521" s="90"/>
    </row>
    <row r="522" ht="15.75" customHeight="1">
      <c r="C522" s="90"/>
    </row>
    <row r="523" ht="15.75" customHeight="1">
      <c r="C523" s="90"/>
    </row>
    <row r="524" ht="15.75" customHeight="1">
      <c r="C524" s="90"/>
    </row>
    <row r="525" ht="15.75" customHeight="1">
      <c r="C525" s="90"/>
    </row>
    <row r="526" ht="15.75" customHeight="1">
      <c r="C526" s="90"/>
    </row>
    <row r="527" ht="15.75" customHeight="1">
      <c r="C527" s="90"/>
    </row>
    <row r="528" ht="15.75" customHeight="1">
      <c r="C528" s="90"/>
    </row>
    <row r="529" ht="15.75" customHeight="1">
      <c r="C529" s="90"/>
    </row>
    <row r="530" ht="15.75" customHeight="1">
      <c r="C530" s="90"/>
    </row>
    <row r="531" ht="15.75" customHeight="1">
      <c r="C531" s="90"/>
    </row>
    <row r="532" ht="15.75" customHeight="1">
      <c r="C532" s="90"/>
    </row>
    <row r="533" ht="15.75" customHeight="1">
      <c r="C533" s="90"/>
    </row>
    <row r="534" ht="15.75" customHeight="1">
      <c r="C534" s="90"/>
    </row>
    <row r="535" ht="15.75" customHeight="1">
      <c r="C535" s="90"/>
    </row>
    <row r="536" ht="15.75" customHeight="1">
      <c r="C536" s="90"/>
    </row>
    <row r="537" ht="15.75" customHeight="1">
      <c r="C537" s="90"/>
    </row>
    <row r="538" ht="15.75" customHeight="1">
      <c r="C538" s="90"/>
    </row>
    <row r="539" ht="15.75" customHeight="1">
      <c r="C539" s="90"/>
    </row>
    <row r="540" ht="15.75" customHeight="1">
      <c r="C540" s="90"/>
    </row>
    <row r="541" ht="15.75" customHeight="1">
      <c r="C541" s="90"/>
    </row>
    <row r="542" ht="15.75" customHeight="1">
      <c r="C542" s="90"/>
    </row>
    <row r="543" ht="15.75" customHeight="1">
      <c r="C543" s="90"/>
    </row>
    <row r="544" ht="15.75" customHeight="1">
      <c r="C544" s="90"/>
    </row>
    <row r="545" ht="15.75" customHeight="1">
      <c r="C545" s="90"/>
    </row>
    <row r="546" ht="15.75" customHeight="1">
      <c r="C546" s="90"/>
    </row>
    <row r="547" ht="15.75" customHeight="1">
      <c r="C547" s="90"/>
    </row>
    <row r="548" ht="15.75" customHeight="1">
      <c r="C548" s="90"/>
    </row>
    <row r="549" ht="15.75" customHeight="1">
      <c r="C549" s="90"/>
    </row>
    <row r="550" ht="15.75" customHeight="1">
      <c r="C550" s="90"/>
    </row>
    <row r="551" ht="15.75" customHeight="1">
      <c r="C551" s="90"/>
    </row>
    <row r="552" ht="15.75" customHeight="1">
      <c r="C552" s="90"/>
    </row>
    <row r="553" ht="15.75" customHeight="1">
      <c r="C553" s="90"/>
    </row>
    <row r="554" ht="15.75" customHeight="1">
      <c r="C554" s="90"/>
    </row>
    <row r="555" ht="15.75" customHeight="1">
      <c r="C555" s="90"/>
    </row>
    <row r="556" ht="15.75" customHeight="1">
      <c r="C556" s="90"/>
    </row>
    <row r="557" ht="15.75" customHeight="1">
      <c r="C557" s="90"/>
    </row>
    <row r="558" ht="15.75" customHeight="1">
      <c r="C558" s="90"/>
    </row>
    <row r="559" ht="15.75" customHeight="1">
      <c r="C559" s="90"/>
    </row>
    <row r="560" ht="15.75" customHeight="1">
      <c r="C560" s="90"/>
    </row>
    <row r="561" ht="15.75" customHeight="1">
      <c r="C561" s="90"/>
    </row>
    <row r="562" ht="15.75" customHeight="1">
      <c r="C562" s="90"/>
    </row>
    <row r="563" ht="15.75" customHeight="1">
      <c r="C563" s="90"/>
    </row>
    <row r="564" ht="15.75" customHeight="1">
      <c r="C564" s="90"/>
    </row>
    <row r="565" ht="15.75" customHeight="1">
      <c r="C565" s="90"/>
    </row>
    <row r="566" ht="15.75" customHeight="1">
      <c r="C566" s="90"/>
    </row>
    <row r="567" ht="15.75" customHeight="1">
      <c r="C567" s="90"/>
    </row>
    <row r="568" ht="15.75" customHeight="1">
      <c r="C568" s="90"/>
    </row>
    <row r="569" ht="15.75" customHeight="1">
      <c r="C569" s="90"/>
    </row>
    <row r="570" ht="15.75" customHeight="1">
      <c r="C570" s="90"/>
    </row>
    <row r="571" ht="15.75" customHeight="1">
      <c r="C571" s="90"/>
    </row>
    <row r="572" ht="15.75" customHeight="1">
      <c r="C572" s="90"/>
    </row>
    <row r="573" ht="15.75" customHeight="1">
      <c r="C573" s="90"/>
    </row>
    <row r="574" ht="15.75" customHeight="1">
      <c r="C574" s="90"/>
    </row>
    <row r="575" ht="15.75" customHeight="1">
      <c r="C575" s="90"/>
    </row>
    <row r="576" ht="15.75" customHeight="1">
      <c r="C576" s="90"/>
    </row>
    <row r="577" ht="15.75" customHeight="1">
      <c r="C577" s="90"/>
    </row>
    <row r="578" ht="15.75" customHeight="1">
      <c r="C578" s="90"/>
    </row>
    <row r="579" ht="15.75" customHeight="1">
      <c r="C579" s="90"/>
    </row>
    <row r="580" ht="15.75" customHeight="1">
      <c r="C580" s="90"/>
    </row>
    <row r="581" ht="15.75" customHeight="1">
      <c r="C581" s="90"/>
    </row>
    <row r="582" ht="15.75" customHeight="1">
      <c r="C582" s="90"/>
    </row>
    <row r="583" ht="15.75" customHeight="1">
      <c r="C583" s="90"/>
    </row>
    <row r="584" ht="15.75" customHeight="1">
      <c r="C584" s="90"/>
    </row>
    <row r="585" ht="15.75" customHeight="1">
      <c r="C585" s="90"/>
    </row>
    <row r="586" ht="15.75" customHeight="1">
      <c r="C586" s="90"/>
    </row>
    <row r="587" ht="15.75" customHeight="1">
      <c r="C587" s="90"/>
    </row>
    <row r="588" ht="15.75" customHeight="1">
      <c r="C588" s="90"/>
    </row>
    <row r="589" ht="15.75" customHeight="1">
      <c r="C589" s="90"/>
    </row>
    <row r="590" ht="15.75" customHeight="1">
      <c r="C590" s="90"/>
    </row>
    <row r="591" ht="15.75" customHeight="1">
      <c r="C591" s="90"/>
    </row>
    <row r="592" ht="15.75" customHeight="1">
      <c r="C592" s="90"/>
    </row>
    <row r="593" ht="15.75" customHeight="1">
      <c r="C593" s="90"/>
    </row>
    <row r="594" ht="15.75" customHeight="1">
      <c r="C594" s="90"/>
    </row>
    <row r="595" ht="15.75" customHeight="1">
      <c r="C595" s="90"/>
    </row>
    <row r="596" ht="15.75" customHeight="1">
      <c r="C596" s="90"/>
    </row>
    <row r="597" ht="15.75" customHeight="1">
      <c r="C597" s="90"/>
    </row>
    <row r="598" ht="15.75" customHeight="1">
      <c r="C598" s="90"/>
    </row>
    <row r="599" ht="15.75" customHeight="1">
      <c r="C599" s="90"/>
    </row>
    <row r="600" ht="15.75" customHeight="1">
      <c r="C600" s="90"/>
    </row>
    <row r="601" ht="15.75" customHeight="1">
      <c r="C601" s="90"/>
    </row>
    <row r="602" ht="15.75" customHeight="1">
      <c r="C602" s="90"/>
    </row>
    <row r="603" ht="15.75" customHeight="1">
      <c r="C603" s="90"/>
    </row>
    <row r="604" ht="15.75" customHeight="1">
      <c r="C604" s="90"/>
    </row>
    <row r="605" ht="15.75" customHeight="1">
      <c r="C605" s="90"/>
    </row>
    <row r="606" ht="15.75" customHeight="1">
      <c r="C606" s="90"/>
    </row>
    <row r="607" ht="15.75" customHeight="1">
      <c r="C607" s="90"/>
    </row>
    <row r="608" ht="15.75" customHeight="1">
      <c r="C608" s="90"/>
    </row>
    <row r="609" ht="15.75" customHeight="1">
      <c r="C609" s="90"/>
    </row>
    <row r="610" ht="15.75" customHeight="1">
      <c r="C610" s="90"/>
    </row>
    <row r="611" ht="15.75" customHeight="1">
      <c r="C611" s="90"/>
    </row>
    <row r="612" ht="15.75" customHeight="1">
      <c r="C612" s="90"/>
    </row>
    <row r="613" ht="15.75" customHeight="1">
      <c r="C613" s="90"/>
    </row>
    <row r="614" ht="15.75" customHeight="1">
      <c r="C614" s="90"/>
    </row>
    <row r="615" ht="15.75" customHeight="1">
      <c r="C615" s="90"/>
    </row>
    <row r="616" ht="15.75" customHeight="1">
      <c r="C616" s="90"/>
    </row>
    <row r="617" ht="15.75" customHeight="1">
      <c r="C617" s="90"/>
    </row>
    <row r="618" ht="15.75" customHeight="1">
      <c r="C618" s="90"/>
    </row>
    <row r="619" ht="15.75" customHeight="1">
      <c r="C619" s="90"/>
    </row>
    <row r="620" ht="15.75" customHeight="1">
      <c r="C620" s="90"/>
    </row>
    <row r="621" ht="15.75" customHeight="1">
      <c r="C621" s="90"/>
    </row>
    <row r="622" ht="15.75" customHeight="1">
      <c r="C622" s="90"/>
    </row>
    <row r="623" ht="15.75" customHeight="1">
      <c r="C623" s="90"/>
    </row>
    <row r="624" ht="15.75" customHeight="1">
      <c r="C624" s="90"/>
    </row>
    <row r="625" ht="15.75" customHeight="1">
      <c r="C625" s="90"/>
    </row>
    <row r="626" ht="15.75" customHeight="1">
      <c r="C626" s="90"/>
    </row>
    <row r="627" ht="15.75" customHeight="1">
      <c r="C627" s="90"/>
    </row>
    <row r="628" ht="15.75" customHeight="1">
      <c r="C628" s="90"/>
    </row>
    <row r="629" ht="15.75" customHeight="1">
      <c r="C629" s="90"/>
    </row>
    <row r="630" ht="15.75" customHeight="1">
      <c r="C630" s="90"/>
    </row>
    <row r="631" ht="15.75" customHeight="1">
      <c r="C631" s="90"/>
    </row>
    <row r="632" ht="15.75" customHeight="1">
      <c r="C632" s="90"/>
    </row>
    <row r="633" ht="15.75" customHeight="1">
      <c r="C633" s="90"/>
    </row>
    <row r="634" ht="15.75" customHeight="1">
      <c r="C634" s="90"/>
    </row>
    <row r="635" ht="15.75" customHeight="1">
      <c r="C635" s="90"/>
    </row>
    <row r="636" ht="15.75" customHeight="1">
      <c r="C636" s="90"/>
    </row>
    <row r="637" ht="15.75" customHeight="1">
      <c r="C637" s="90"/>
    </row>
    <row r="638" ht="15.75" customHeight="1">
      <c r="C638" s="90"/>
    </row>
    <row r="639" ht="15.75" customHeight="1">
      <c r="C639" s="90"/>
    </row>
    <row r="640" ht="15.75" customHeight="1">
      <c r="C640" s="90"/>
    </row>
    <row r="641" ht="15.75" customHeight="1">
      <c r="C641" s="90"/>
    </row>
    <row r="642" ht="15.75" customHeight="1">
      <c r="C642" s="90"/>
    </row>
    <row r="643" ht="15.75" customHeight="1">
      <c r="C643" s="90"/>
    </row>
    <row r="644" ht="15.75" customHeight="1">
      <c r="C644" s="90"/>
    </row>
    <row r="645" ht="15.75" customHeight="1">
      <c r="C645" s="90"/>
    </row>
    <row r="646" ht="15.75" customHeight="1">
      <c r="C646" s="90"/>
    </row>
    <row r="647" ht="15.75" customHeight="1">
      <c r="C647" s="90"/>
    </row>
    <row r="648" ht="15.75" customHeight="1">
      <c r="C648" s="90"/>
    </row>
    <row r="649" ht="15.75" customHeight="1">
      <c r="C649" s="90"/>
    </row>
    <row r="650" ht="15.75" customHeight="1">
      <c r="C650" s="90"/>
    </row>
    <row r="651" ht="15.75" customHeight="1">
      <c r="C651" s="90"/>
    </row>
    <row r="652" ht="15.75" customHeight="1">
      <c r="C652" s="90"/>
    </row>
    <row r="653" ht="15.75" customHeight="1">
      <c r="C653" s="90"/>
    </row>
    <row r="654" ht="15.75" customHeight="1">
      <c r="C654" s="90"/>
    </row>
    <row r="655" ht="15.75" customHeight="1">
      <c r="C655" s="90"/>
    </row>
    <row r="656" ht="15.75" customHeight="1">
      <c r="C656" s="90"/>
    </row>
    <row r="657" ht="15.75" customHeight="1">
      <c r="C657" s="90"/>
    </row>
    <row r="658" ht="15.75" customHeight="1">
      <c r="C658" s="90"/>
    </row>
    <row r="659" ht="15.75" customHeight="1">
      <c r="C659" s="90"/>
    </row>
    <row r="660" ht="15.75" customHeight="1">
      <c r="C660" s="90"/>
    </row>
    <row r="661" ht="15.75" customHeight="1">
      <c r="C661" s="90"/>
    </row>
    <row r="662" ht="15.75" customHeight="1">
      <c r="C662" s="90"/>
    </row>
    <row r="663" ht="15.75" customHeight="1">
      <c r="C663" s="90"/>
    </row>
    <row r="664" ht="15.75" customHeight="1">
      <c r="C664" s="90"/>
    </row>
    <row r="665" ht="15.75" customHeight="1">
      <c r="C665" s="90"/>
    </row>
    <row r="666" ht="15.75" customHeight="1">
      <c r="C666" s="90"/>
    </row>
    <row r="667" ht="15.75" customHeight="1">
      <c r="C667" s="90"/>
    </row>
    <row r="668" ht="15.75" customHeight="1">
      <c r="C668" s="90"/>
    </row>
    <row r="669" ht="15.75" customHeight="1">
      <c r="C669" s="90"/>
    </row>
    <row r="670" ht="15.75" customHeight="1">
      <c r="C670" s="90"/>
    </row>
    <row r="671" ht="15.75" customHeight="1">
      <c r="C671" s="90"/>
    </row>
    <row r="672" ht="15.75" customHeight="1">
      <c r="C672" s="90"/>
    </row>
    <row r="673" ht="15.75" customHeight="1">
      <c r="C673" s="90"/>
    </row>
    <row r="674" ht="15.75" customHeight="1">
      <c r="C674" s="90"/>
    </row>
    <row r="675" ht="15.75" customHeight="1">
      <c r="C675" s="90"/>
    </row>
    <row r="676" ht="15.75" customHeight="1">
      <c r="C676" s="90"/>
    </row>
    <row r="677" ht="15.75" customHeight="1">
      <c r="C677" s="90"/>
    </row>
    <row r="678" ht="15.75" customHeight="1">
      <c r="C678" s="90"/>
    </row>
    <row r="679" ht="15.75" customHeight="1">
      <c r="C679" s="90"/>
    </row>
    <row r="680" ht="15.75" customHeight="1">
      <c r="C680" s="90"/>
    </row>
    <row r="681" ht="15.75" customHeight="1">
      <c r="C681" s="90"/>
    </row>
    <row r="682" ht="15.75" customHeight="1">
      <c r="C682" s="90"/>
    </row>
    <row r="683" ht="15.75" customHeight="1">
      <c r="C683" s="90"/>
    </row>
    <row r="684" ht="15.75" customHeight="1">
      <c r="C684" s="90"/>
    </row>
    <row r="685" ht="15.75" customHeight="1">
      <c r="C685" s="90"/>
    </row>
    <row r="686" ht="15.75" customHeight="1">
      <c r="C686" s="90"/>
    </row>
    <row r="687" ht="15.75" customHeight="1">
      <c r="C687" s="90"/>
    </row>
    <row r="688" ht="15.75" customHeight="1">
      <c r="C688" s="90"/>
    </row>
    <row r="689" ht="15.75" customHeight="1">
      <c r="C689" s="90"/>
    </row>
    <row r="690" ht="15.75" customHeight="1">
      <c r="C690" s="90"/>
    </row>
    <row r="691" ht="15.75" customHeight="1">
      <c r="C691" s="90"/>
    </row>
    <row r="692" ht="15.75" customHeight="1">
      <c r="C692" s="90"/>
    </row>
    <row r="693" ht="15.75" customHeight="1">
      <c r="C693" s="90"/>
    </row>
    <row r="694" ht="15.75" customHeight="1">
      <c r="C694" s="90"/>
    </row>
    <row r="695" ht="15.75" customHeight="1">
      <c r="C695" s="90"/>
    </row>
    <row r="696" ht="15.75" customHeight="1">
      <c r="C696" s="90"/>
    </row>
    <row r="697" ht="15.75" customHeight="1">
      <c r="C697" s="90"/>
    </row>
    <row r="698" ht="15.75" customHeight="1">
      <c r="C698" s="90"/>
    </row>
    <row r="699" ht="15.75" customHeight="1">
      <c r="C699" s="90"/>
    </row>
    <row r="700" ht="15.75" customHeight="1">
      <c r="C700" s="90"/>
    </row>
    <row r="701" ht="15.75" customHeight="1">
      <c r="C701" s="90"/>
    </row>
    <row r="702" ht="15.75" customHeight="1">
      <c r="C702" s="90"/>
    </row>
    <row r="703" ht="15.75" customHeight="1">
      <c r="C703" s="90"/>
    </row>
    <row r="704" ht="15.75" customHeight="1">
      <c r="C704" s="90"/>
    </row>
    <row r="705" ht="15.75" customHeight="1">
      <c r="C705" s="90"/>
    </row>
    <row r="706" ht="15.75" customHeight="1">
      <c r="C706" s="90"/>
    </row>
    <row r="707" ht="15.75" customHeight="1">
      <c r="C707" s="90"/>
    </row>
    <row r="708" ht="15.75" customHeight="1">
      <c r="C708" s="90"/>
    </row>
    <row r="709" ht="15.75" customHeight="1">
      <c r="C709" s="90"/>
    </row>
    <row r="710" ht="15.75" customHeight="1">
      <c r="C710" s="90"/>
    </row>
    <row r="711" ht="15.75" customHeight="1">
      <c r="C711" s="90"/>
    </row>
    <row r="712" ht="15.75" customHeight="1">
      <c r="C712" s="90"/>
    </row>
    <row r="713" ht="15.75" customHeight="1">
      <c r="C713" s="90"/>
    </row>
    <row r="714" ht="15.75" customHeight="1">
      <c r="C714" s="90"/>
    </row>
    <row r="715" ht="15.75" customHeight="1">
      <c r="C715" s="90"/>
    </row>
    <row r="716" ht="15.75" customHeight="1">
      <c r="C716" s="90"/>
    </row>
    <row r="717" ht="15.75" customHeight="1">
      <c r="C717" s="90"/>
    </row>
    <row r="718" ht="15.75" customHeight="1">
      <c r="C718" s="90"/>
    </row>
    <row r="719" ht="15.75" customHeight="1">
      <c r="C719" s="90"/>
    </row>
    <row r="720" ht="15.75" customHeight="1">
      <c r="C720" s="90"/>
    </row>
    <row r="721" ht="15.75" customHeight="1">
      <c r="C721" s="90"/>
    </row>
    <row r="722" ht="15.75" customHeight="1">
      <c r="C722" s="90"/>
    </row>
    <row r="723" ht="15.75" customHeight="1">
      <c r="C723" s="90"/>
    </row>
    <row r="724" ht="15.75" customHeight="1">
      <c r="C724" s="90"/>
    </row>
    <row r="725" ht="15.75" customHeight="1">
      <c r="C725" s="90"/>
    </row>
    <row r="726" ht="15.75" customHeight="1">
      <c r="C726" s="90"/>
    </row>
    <row r="727" ht="15.75" customHeight="1">
      <c r="C727" s="90"/>
    </row>
    <row r="728" ht="15.75" customHeight="1">
      <c r="C728" s="90"/>
    </row>
    <row r="729" ht="15.75" customHeight="1">
      <c r="C729" s="90"/>
    </row>
    <row r="730" ht="15.75" customHeight="1">
      <c r="C730" s="90"/>
    </row>
    <row r="731" ht="15.75" customHeight="1">
      <c r="C731" s="90"/>
    </row>
    <row r="732" ht="15.75" customHeight="1">
      <c r="C732" s="90"/>
    </row>
    <row r="733" ht="15.75" customHeight="1">
      <c r="C733" s="90"/>
    </row>
    <row r="734" ht="15.75" customHeight="1">
      <c r="C734" s="90"/>
    </row>
    <row r="735" ht="15.75" customHeight="1">
      <c r="C735" s="90"/>
    </row>
    <row r="736" ht="15.75" customHeight="1">
      <c r="C736" s="90"/>
    </row>
    <row r="737" ht="15.75" customHeight="1">
      <c r="C737" s="90"/>
    </row>
    <row r="738" ht="15.75" customHeight="1">
      <c r="C738" s="90"/>
    </row>
    <row r="739" ht="15.75" customHeight="1">
      <c r="C739" s="90"/>
    </row>
    <row r="740" ht="15.75" customHeight="1">
      <c r="C740" s="90"/>
    </row>
    <row r="741" ht="15.75" customHeight="1">
      <c r="C741" s="90"/>
    </row>
    <row r="742" ht="15.75" customHeight="1">
      <c r="C742" s="90"/>
    </row>
    <row r="743" ht="15.75" customHeight="1">
      <c r="C743" s="90"/>
    </row>
    <row r="744" ht="15.75" customHeight="1">
      <c r="C744" s="90"/>
    </row>
    <row r="745" ht="15.75" customHeight="1">
      <c r="C745" s="90"/>
    </row>
    <row r="746" ht="15.75" customHeight="1">
      <c r="C746" s="90"/>
    </row>
    <row r="747" ht="15.75" customHeight="1">
      <c r="C747" s="90"/>
    </row>
    <row r="748" ht="15.75" customHeight="1">
      <c r="C748" s="90"/>
    </row>
    <row r="749" ht="15.75" customHeight="1">
      <c r="C749" s="90"/>
    </row>
    <row r="750" ht="15.75" customHeight="1">
      <c r="C750" s="90"/>
    </row>
    <row r="751" ht="15.75" customHeight="1">
      <c r="C751" s="90"/>
    </row>
    <row r="752" ht="15.75" customHeight="1">
      <c r="C752" s="90"/>
    </row>
    <row r="753" ht="15.75" customHeight="1">
      <c r="C753" s="90"/>
    </row>
    <row r="754" ht="15.75" customHeight="1">
      <c r="C754" s="90"/>
    </row>
    <row r="755" ht="15.75" customHeight="1">
      <c r="C755" s="90"/>
    </row>
    <row r="756" ht="15.75" customHeight="1">
      <c r="C756" s="90"/>
    </row>
    <row r="757" ht="15.75" customHeight="1">
      <c r="C757" s="90"/>
    </row>
    <row r="758" ht="15.75" customHeight="1">
      <c r="C758" s="90"/>
    </row>
    <row r="759" ht="15.75" customHeight="1">
      <c r="C759" s="90"/>
    </row>
    <row r="760" ht="15.75" customHeight="1">
      <c r="C760" s="90"/>
    </row>
    <row r="761" ht="15.75" customHeight="1">
      <c r="C761" s="90"/>
    </row>
    <row r="762" ht="15.75" customHeight="1">
      <c r="C762" s="90"/>
    </row>
    <row r="763" ht="15.75" customHeight="1">
      <c r="C763" s="90"/>
    </row>
    <row r="764" ht="15.75" customHeight="1">
      <c r="C764" s="90"/>
    </row>
    <row r="765" ht="15.75" customHeight="1">
      <c r="C765" s="90"/>
    </row>
    <row r="766" ht="15.75" customHeight="1">
      <c r="C766" s="90"/>
    </row>
    <row r="767" ht="15.75" customHeight="1">
      <c r="C767" s="90"/>
    </row>
    <row r="768" ht="15.75" customHeight="1">
      <c r="C768" s="90"/>
    </row>
    <row r="769" ht="15.75" customHeight="1">
      <c r="C769" s="90"/>
    </row>
    <row r="770" ht="15.75" customHeight="1">
      <c r="C770" s="90"/>
    </row>
    <row r="771" ht="15.75" customHeight="1">
      <c r="C771" s="90"/>
    </row>
    <row r="772" ht="15.75" customHeight="1">
      <c r="C772" s="90"/>
    </row>
    <row r="773" ht="15.75" customHeight="1">
      <c r="C773" s="90"/>
    </row>
    <row r="774" ht="15.75" customHeight="1">
      <c r="C774" s="90"/>
    </row>
    <row r="775" ht="15.75" customHeight="1">
      <c r="C775" s="90"/>
    </row>
    <row r="776" ht="15.75" customHeight="1">
      <c r="C776" s="90"/>
    </row>
    <row r="777" ht="15.75" customHeight="1">
      <c r="C777" s="90"/>
    </row>
    <row r="778" ht="15.75" customHeight="1">
      <c r="C778" s="90"/>
    </row>
    <row r="779" ht="15.75" customHeight="1">
      <c r="C779" s="90"/>
    </row>
    <row r="780" ht="15.75" customHeight="1">
      <c r="C780" s="90"/>
    </row>
    <row r="781" ht="15.75" customHeight="1">
      <c r="C781" s="90"/>
    </row>
    <row r="782" ht="15.75" customHeight="1">
      <c r="C782" s="90"/>
    </row>
    <row r="783" ht="15.75" customHeight="1">
      <c r="C783" s="90"/>
    </row>
    <row r="784" ht="15.75" customHeight="1">
      <c r="C784" s="90"/>
    </row>
    <row r="785" ht="15.75" customHeight="1">
      <c r="C785" s="90"/>
    </row>
    <row r="786" ht="15.75" customHeight="1">
      <c r="C786" s="90"/>
    </row>
    <row r="787" ht="15.75" customHeight="1">
      <c r="C787" s="90"/>
    </row>
    <row r="788" ht="15.75" customHeight="1">
      <c r="C788" s="90"/>
    </row>
    <row r="789" ht="15.75" customHeight="1">
      <c r="C789" s="90"/>
    </row>
    <row r="790" ht="15.75" customHeight="1">
      <c r="C790" s="90"/>
    </row>
    <row r="791" ht="15.75" customHeight="1">
      <c r="C791" s="90"/>
    </row>
    <row r="792" ht="15.75" customHeight="1">
      <c r="C792" s="90"/>
    </row>
    <row r="793" ht="15.75" customHeight="1">
      <c r="C793" s="90"/>
    </row>
    <row r="794" ht="15.75" customHeight="1">
      <c r="C794" s="90"/>
    </row>
    <row r="795" ht="15.75" customHeight="1">
      <c r="C795" s="90"/>
    </row>
    <row r="796" ht="15.75" customHeight="1">
      <c r="C796" s="90"/>
    </row>
    <row r="797" ht="15.75" customHeight="1">
      <c r="C797" s="90"/>
    </row>
    <row r="798" ht="15.75" customHeight="1">
      <c r="C798" s="90"/>
    </row>
    <row r="799" ht="15.75" customHeight="1">
      <c r="C799" s="90"/>
    </row>
    <row r="800" ht="15.75" customHeight="1">
      <c r="C800" s="90"/>
    </row>
    <row r="801" ht="15.75" customHeight="1">
      <c r="C801" s="90"/>
    </row>
    <row r="802" ht="15.75" customHeight="1">
      <c r="C802" s="90"/>
    </row>
    <row r="803" ht="15.75" customHeight="1">
      <c r="C803" s="90"/>
    </row>
    <row r="804" ht="15.75" customHeight="1">
      <c r="C804" s="90"/>
    </row>
    <row r="805" ht="15.75" customHeight="1">
      <c r="C805" s="90"/>
    </row>
    <row r="806" ht="15.75" customHeight="1">
      <c r="C806" s="90"/>
    </row>
    <row r="807" ht="15.75" customHeight="1">
      <c r="C807" s="90"/>
    </row>
    <row r="808" ht="15.75" customHeight="1">
      <c r="C808" s="90"/>
    </row>
    <row r="809" ht="15.75" customHeight="1">
      <c r="C809" s="90"/>
    </row>
    <row r="810" ht="15.75" customHeight="1">
      <c r="C810" s="90"/>
    </row>
    <row r="811" ht="15.75" customHeight="1">
      <c r="C811" s="90"/>
    </row>
    <row r="812" ht="15.75" customHeight="1">
      <c r="C812" s="90"/>
    </row>
    <row r="813" ht="15.75" customHeight="1">
      <c r="C813" s="90"/>
    </row>
    <row r="814" ht="15.75" customHeight="1">
      <c r="C814" s="90"/>
    </row>
    <row r="815" ht="15.75" customHeight="1">
      <c r="C815" s="90"/>
    </row>
    <row r="816" ht="15.75" customHeight="1">
      <c r="C816" s="90"/>
    </row>
    <row r="817" ht="15.75" customHeight="1">
      <c r="C817" s="90"/>
    </row>
    <row r="818" ht="15.75" customHeight="1">
      <c r="C818" s="90"/>
    </row>
    <row r="819" ht="15.75" customHeight="1">
      <c r="C819" s="90"/>
    </row>
    <row r="820" ht="15.75" customHeight="1">
      <c r="C820" s="90"/>
    </row>
    <row r="821" ht="15.75" customHeight="1">
      <c r="C821" s="90"/>
    </row>
    <row r="822" ht="15.75" customHeight="1">
      <c r="C822" s="90"/>
    </row>
    <row r="823" ht="15.75" customHeight="1">
      <c r="C823" s="90"/>
    </row>
    <row r="824" ht="15.75" customHeight="1">
      <c r="C824" s="90"/>
    </row>
    <row r="825" ht="15.75" customHeight="1">
      <c r="C825" s="90"/>
    </row>
    <row r="826" ht="15.75" customHeight="1">
      <c r="C826" s="90"/>
    </row>
    <row r="827" ht="15.75" customHeight="1">
      <c r="C827" s="90"/>
    </row>
    <row r="828" ht="15.75" customHeight="1">
      <c r="C828" s="90"/>
    </row>
    <row r="829" ht="15.75" customHeight="1">
      <c r="C829" s="90"/>
    </row>
    <row r="830" ht="15.75" customHeight="1">
      <c r="C830" s="90"/>
    </row>
    <row r="831" ht="15.75" customHeight="1">
      <c r="C831" s="90"/>
    </row>
    <row r="832" ht="15.75" customHeight="1">
      <c r="C832" s="90"/>
    </row>
    <row r="833" ht="15.75" customHeight="1">
      <c r="C833" s="90"/>
    </row>
    <row r="834" ht="15.75" customHeight="1">
      <c r="C834" s="90"/>
    </row>
    <row r="835" ht="15.75" customHeight="1">
      <c r="C835" s="90"/>
    </row>
    <row r="836" ht="15.75" customHeight="1">
      <c r="C836" s="90"/>
    </row>
    <row r="837" ht="15.75" customHeight="1">
      <c r="C837" s="90"/>
    </row>
    <row r="838" ht="15.75" customHeight="1">
      <c r="C838" s="90"/>
    </row>
    <row r="839" ht="15.75" customHeight="1">
      <c r="C839" s="90"/>
    </row>
    <row r="840" ht="15.75" customHeight="1">
      <c r="C840" s="90"/>
    </row>
    <row r="841" ht="15.75" customHeight="1">
      <c r="C841" s="90"/>
    </row>
    <row r="842" ht="15.75" customHeight="1">
      <c r="C842" s="90"/>
    </row>
    <row r="843" ht="15.75" customHeight="1">
      <c r="C843" s="90"/>
    </row>
    <row r="844" ht="15.75" customHeight="1">
      <c r="C844" s="90"/>
    </row>
    <row r="845" ht="15.75" customHeight="1">
      <c r="C845" s="90"/>
    </row>
    <row r="846" ht="15.75" customHeight="1">
      <c r="C846" s="90"/>
    </row>
    <row r="847" ht="15.75" customHeight="1">
      <c r="C847" s="90"/>
    </row>
    <row r="848" ht="15.75" customHeight="1">
      <c r="C848" s="90"/>
    </row>
    <row r="849" ht="15.75" customHeight="1">
      <c r="C849" s="90"/>
    </row>
    <row r="850" ht="15.75" customHeight="1">
      <c r="C850" s="90"/>
    </row>
    <row r="851" ht="15.75" customHeight="1">
      <c r="C851" s="90"/>
    </row>
    <row r="852" ht="15.75" customHeight="1">
      <c r="C852" s="90"/>
    </row>
    <row r="853" ht="15.75" customHeight="1">
      <c r="C853" s="90"/>
    </row>
    <row r="854" ht="15.75" customHeight="1">
      <c r="C854" s="90"/>
    </row>
    <row r="855" ht="15.75" customHeight="1">
      <c r="C855" s="90"/>
    </row>
    <row r="856" ht="15.75" customHeight="1">
      <c r="C856" s="90"/>
    </row>
    <row r="857" ht="15.75" customHeight="1">
      <c r="C857" s="90"/>
    </row>
    <row r="858" ht="15.75" customHeight="1">
      <c r="C858" s="90"/>
    </row>
    <row r="859" ht="15.75" customHeight="1">
      <c r="C859" s="90"/>
    </row>
    <row r="860" ht="15.75" customHeight="1">
      <c r="C860" s="90"/>
    </row>
    <row r="861" ht="15.75" customHeight="1">
      <c r="C861" s="90"/>
    </row>
    <row r="862" ht="15.75" customHeight="1">
      <c r="C862" s="90"/>
    </row>
    <row r="863" ht="15.75" customHeight="1">
      <c r="C863" s="90"/>
    </row>
    <row r="864" ht="15.75" customHeight="1">
      <c r="C864" s="90"/>
    </row>
    <row r="865" ht="15.75" customHeight="1">
      <c r="C865" s="90"/>
    </row>
    <row r="866" ht="15.75" customHeight="1">
      <c r="C866" s="90"/>
    </row>
    <row r="867" ht="15.75" customHeight="1">
      <c r="C867" s="90"/>
    </row>
    <row r="868" ht="15.75" customHeight="1">
      <c r="C868" s="90"/>
    </row>
    <row r="869" ht="15.75" customHeight="1">
      <c r="C869" s="90"/>
    </row>
    <row r="870" ht="15.75" customHeight="1">
      <c r="C870" s="90"/>
    </row>
    <row r="871" ht="15.75" customHeight="1">
      <c r="C871" s="90"/>
    </row>
    <row r="872" ht="15.75" customHeight="1">
      <c r="C872" s="90"/>
    </row>
    <row r="873" ht="15.75" customHeight="1">
      <c r="C873" s="90"/>
    </row>
    <row r="874" ht="15.75" customHeight="1">
      <c r="C874" s="90"/>
    </row>
    <row r="875" ht="15.75" customHeight="1">
      <c r="C875" s="90"/>
    </row>
    <row r="876" ht="15.75" customHeight="1">
      <c r="C876" s="90"/>
    </row>
    <row r="877" ht="15.75" customHeight="1">
      <c r="C877" s="90"/>
    </row>
    <row r="878" ht="15.75" customHeight="1">
      <c r="C878" s="90"/>
    </row>
    <row r="879" ht="15.75" customHeight="1">
      <c r="C879" s="90"/>
    </row>
    <row r="880" ht="15.75" customHeight="1">
      <c r="C880" s="90"/>
    </row>
    <row r="881" ht="15.75" customHeight="1">
      <c r="C881" s="90"/>
    </row>
    <row r="882" ht="15.75" customHeight="1">
      <c r="C882" s="90"/>
    </row>
    <row r="883" ht="15.75" customHeight="1">
      <c r="C883" s="90"/>
    </row>
    <row r="884" ht="15.75" customHeight="1">
      <c r="C884" s="90"/>
    </row>
    <row r="885" ht="15.75" customHeight="1">
      <c r="C885" s="90"/>
    </row>
    <row r="886" ht="15.75" customHeight="1">
      <c r="C886" s="90"/>
    </row>
    <row r="887" ht="15.75" customHeight="1">
      <c r="C887" s="90"/>
    </row>
    <row r="888" ht="15.75" customHeight="1">
      <c r="C888" s="90"/>
    </row>
    <row r="889" ht="15.75" customHeight="1">
      <c r="C889" s="90"/>
    </row>
    <row r="890" ht="15.75" customHeight="1">
      <c r="C890" s="90"/>
    </row>
    <row r="891" ht="15.75" customHeight="1">
      <c r="C891" s="90"/>
    </row>
    <row r="892" ht="15.75" customHeight="1">
      <c r="C892" s="90"/>
    </row>
    <row r="893" ht="15.75" customHeight="1">
      <c r="C893" s="90"/>
    </row>
    <row r="894" ht="15.75" customHeight="1">
      <c r="C894" s="90"/>
    </row>
    <row r="895" ht="15.75" customHeight="1">
      <c r="C895" s="90"/>
    </row>
    <row r="896" ht="15.75" customHeight="1">
      <c r="C896" s="90"/>
    </row>
    <row r="897" ht="15.75" customHeight="1">
      <c r="C897" s="90"/>
    </row>
    <row r="898" ht="15.75" customHeight="1">
      <c r="C898" s="90"/>
    </row>
    <row r="899" ht="15.75" customHeight="1">
      <c r="C899" s="90"/>
    </row>
    <row r="900" ht="15.75" customHeight="1">
      <c r="C900" s="90"/>
    </row>
    <row r="901" ht="15.75" customHeight="1">
      <c r="C901" s="90"/>
    </row>
    <row r="902" ht="15.75" customHeight="1">
      <c r="C902" s="90"/>
    </row>
    <row r="903" ht="15.75" customHeight="1">
      <c r="C903" s="90"/>
    </row>
    <row r="904" ht="15.75" customHeight="1">
      <c r="C904" s="90"/>
    </row>
    <row r="905" ht="15.75" customHeight="1">
      <c r="C905" s="90"/>
    </row>
    <row r="906" ht="15.75" customHeight="1">
      <c r="C906" s="90"/>
    </row>
    <row r="907" ht="15.75" customHeight="1">
      <c r="C907" s="90"/>
    </row>
    <row r="908" ht="15.75" customHeight="1">
      <c r="C908" s="90"/>
    </row>
    <row r="909" ht="15.75" customHeight="1">
      <c r="C909" s="90"/>
    </row>
    <row r="910" ht="15.75" customHeight="1">
      <c r="C910" s="90"/>
    </row>
    <row r="911" ht="15.75" customHeight="1">
      <c r="C911" s="90"/>
    </row>
    <row r="912" ht="15.75" customHeight="1">
      <c r="C912" s="90"/>
    </row>
    <row r="913" ht="15.75" customHeight="1">
      <c r="C913" s="90"/>
    </row>
    <row r="914" ht="15.75" customHeight="1">
      <c r="C914" s="90"/>
    </row>
    <row r="915" ht="15.75" customHeight="1">
      <c r="C915" s="90"/>
    </row>
    <row r="916" ht="15.75" customHeight="1">
      <c r="C916" s="90"/>
    </row>
    <row r="917" ht="15.75" customHeight="1">
      <c r="C917" s="90"/>
    </row>
    <row r="918" ht="15.75" customHeight="1">
      <c r="C918" s="90"/>
    </row>
    <row r="919" ht="15.75" customHeight="1">
      <c r="C919" s="90"/>
    </row>
    <row r="920" ht="15.75" customHeight="1">
      <c r="C920" s="90"/>
    </row>
    <row r="921" ht="15.75" customHeight="1">
      <c r="C921" s="90"/>
    </row>
    <row r="922" ht="15.75" customHeight="1">
      <c r="C922" s="90"/>
    </row>
    <row r="923" ht="15.75" customHeight="1">
      <c r="C923" s="90"/>
    </row>
    <row r="924" ht="15.75" customHeight="1">
      <c r="C924" s="90"/>
    </row>
    <row r="925" ht="15.75" customHeight="1">
      <c r="C925" s="90"/>
    </row>
    <row r="926" ht="15.75" customHeight="1">
      <c r="C926" s="90"/>
    </row>
    <row r="927" ht="15.75" customHeight="1">
      <c r="C927" s="90"/>
    </row>
    <row r="928" ht="15.75" customHeight="1">
      <c r="C928" s="90"/>
    </row>
    <row r="929" ht="15.75" customHeight="1">
      <c r="C929" s="90"/>
    </row>
    <row r="930" ht="15.75" customHeight="1">
      <c r="C930" s="90"/>
    </row>
    <row r="931" ht="15.75" customHeight="1">
      <c r="C931" s="90"/>
    </row>
    <row r="932" ht="15.75" customHeight="1">
      <c r="C932" s="90"/>
    </row>
    <row r="933" ht="15.75" customHeight="1">
      <c r="C933" s="90"/>
    </row>
    <row r="934" ht="15.75" customHeight="1">
      <c r="C934" s="90"/>
    </row>
    <row r="935" ht="15.75" customHeight="1">
      <c r="C935" s="90"/>
    </row>
    <row r="936" ht="15.75" customHeight="1">
      <c r="C936" s="90"/>
    </row>
    <row r="937" ht="15.75" customHeight="1">
      <c r="C937" s="90"/>
    </row>
    <row r="938" ht="15.75" customHeight="1">
      <c r="C938" s="90"/>
    </row>
    <row r="939" ht="15.75" customHeight="1">
      <c r="C939" s="90"/>
    </row>
    <row r="940" ht="15.75" customHeight="1">
      <c r="C940" s="90"/>
    </row>
    <row r="941" ht="15.75" customHeight="1">
      <c r="C941" s="90"/>
    </row>
    <row r="942" ht="15.75" customHeight="1">
      <c r="C942" s="90"/>
    </row>
    <row r="943" ht="15.75" customHeight="1">
      <c r="C943" s="90"/>
    </row>
    <row r="944" ht="15.75" customHeight="1">
      <c r="C944" s="90"/>
    </row>
    <row r="945" ht="15.75" customHeight="1">
      <c r="C945" s="90"/>
    </row>
    <row r="946" ht="15.75" customHeight="1">
      <c r="C946" s="90"/>
    </row>
    <row r="947" ht="15.75" customHeight="1">
      <c r="C947" s="90"/>
    </row>
    <row r="948" ht="15.75" customHeight="1">
      <c r="C948" s="90"/>
    </row>
    <row r="949" ht="15.75" customHeight="1">
      <c r="C949" s="90"/>
    </row>
    <row r="950" ht="15.75" customHeight="1">
      <c r="C950" s="90"/>
    </row>
    <row r="951" ht="15.75" customHeight="1">
      <c r="C951" s="90"/>
    </row>
    <row r="952" ht="15.75" customHeight="1">
      <c r="C952" s="90"/>
    </row>
    <row r="953" ht="15.75" customHeight="1">
      <c r="C953" s="90"/>
    </row>
    <row r="954" ht="15.75" customHeight="1">
      <c r="C954" s="90"/>
    </row>
    <row r="955" ht="15.75" customHeight="1">
      <c r="C955" s="90"/>
    </row>
    <row r="956" ht="15.75" customHeight="1">
      <c r="C956" s="90"/>
    </row>
    <row r="957" ht="15.75" customHeight="1">
      <c r="C957" s="90"/>
    </row>
    <row r="958" ht="15.75" customHeight="1">
      <c r="C958" s="90"/>
    </row>
    <row r="959" ht="15.75" customHeight="1">
      <c r="C959" s="90"/>
    </row>
    <row r="960" ht="15.75" customHeight="1">
      <c r="C960" s="90"/>
    </row>
    <row r="961" ht="15.75" customHeight="1">
      <c r="C961" s="90"/>
    </row>
    <row r="962" ht="15.75" customHeight="1">
      <c r="C962" s="90"/>
    </row>
    <row r="963" ht="15.75" customHeight="1">
      <c r="C963" s="90"/>
    </row>
    <row r="964" ht="15.75" customHeight="1">
      <c r="C964" s="90"/>
    </row>
    <row r="965" ht="15.75" customHeight="1">
      <c r="C965" s="90"/>
    </row>
    <row r="966" ht="15.75" customHeight="1">
      <c r="C966" s="90"/>
    </row>
    <row r="967" ht="15.75" customHeight="1">
      <c r="C967" s="90"/>
    </row>
    <row r="968" ht="15.75" customHeight="1">
      <c r="C968" s="90"/>
    </row>
    <row r="969" ht="15.75" customHeight="1">
      <c r="C969" s="90"/>
    </row>
    <row r="970" ht="15.75" customHeight="1">
      <c r="C970" s="90"/>
    </row>
    <row r="971" ht="15.75" customHeight="1">
      <c r="C971" s="90"/>
    </row>
    <row r="972" ht="15.75" customHeight="1">
      <c r="C972" s="90"/>
    </row>
    <row r="973" ht="15.75" customHeight="1">
      <c r="C973" s="90"/>
    </row>
    <row r="974" ht="15.75" customHeight="1">
      <c r="C974" s="90"/>
    </row>
    <row r="975" ht="15.75" customHeight="1">
      <c r="C975" s="90"/>
    </row>
    <row r="976" ht="15.75" customHeight="1">
      <c r="C976" s="90"/>
    </row>
    <row r="977" ht="15.75" customHeight="1">
      <c r="C977" s="90"/>
    </row>
    <row r="978" ht="15.75" customHeight="1">
      <c r="C978" s="90"/>
    </row>
    <row r="979" ht="15.75" customHeight="1">
      <c r="C979" s="90"/>
    </row>
    <row r="980" ht="15.75" customHeight="1">
      <c r="C980" s="90"/>
    </row>
    <row r="981" ht="15.75" customHeight="1">
      <c r="C981" s="90"/>
    </row>
    <row r="982" ht="15.75" customHeight="1">
      <c r="C982" s="90"/>
    </row>
    <row r="983" ht="15.75" customHeight="1">
      <c r="C983" s="90"/>
    </row>
    <row r="984" ht="15.75" customHeight="1">
      <c r="C984" s="90"/>
    </row>
    <row r="985" ht="15.75" customHeight="1">
      <c r="C985" s="90"/>
    </row>
    <row r="986" ht="15.75" customHeight="1">
      <c r="C986" s="90"/>
    </row>
    <row r="987" ht="15.75" customHeight="1">
      <c r="C987" s="90"/>
    </row>
    <row r="988" ht="15.75" customHeight="1">
      <c r="C988" s="90"/>
    </row>
    <row r="989" ht="15.75" customHeight="1">
      <c r="C989" s="90"/>
    </row>
    <row r="990" ht="15.75" customHeight="1">
      <c r="C990" s="90"/>
    </row>
    <row r="991" ht="15.75" customHeight="1">
      <c r="C991" s="90"/>
    </row>
    <row r="992" ht="15.75" customHeight="1">
      <c r="C992" s="90"/>
    </row>
    <row r="993" ht="15.75" customHeight="1">
      <c r="C993" s="90"/>
    </row>
    <row r="994" ht="15.75" customHeight="1">
      <c r="C994" s="90"/>
    </row>
    <row r="995" ht="15.75" customHeight="1">
      <c r="C995" s="90"/>
    </row>
    <row r="996" ht="15.75" customHeight="1">
      <c r="C996" s="90"/>
    </row>
    <row r="997" ht="15.75" customHeight="1">
      <c r="C997" s="90"/>
    </row>
    <row r="998" ht="15.75" customHeight="1">
      <c r="C998" s="90"/>
    </row>
    <row r="999" ht="15.75" customHeight="1">
      <c r="C999" s="90"/>
    </row>
    <row r="1000" ht="15.75" customHeight="1">
      <c r="C1000" s="90"/>
      <c r="H1000" s="9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6"/>
    <col customWidth="1" min="2" max="2" width="20.0"/>
    <col customWidth="1" min="3" max="3" width="22.2"/>
    <col customWidth="1" min="4" max="4" width="44.7"/>
    <col customWidth="1" min="5" max="5" width="9.2"/>
    <col customWidth="1" min="6" max="6" width="27.0"/>
    <col customWidth="1" min="7" max="7" width="37.0"/>
    <col customWidth="1" min="8" max="25" width="10.6"/>
  </cols>
  <sheetData>
    <row r="1" ht="15.75" customHeight="1">
      <c r="A1" s="1" t="s">
        <v>107</v>
      </c>
      <c r="B1" s="1" t="s">
        <v>286</v>
      </c>
      <c r="C1" s="1" t="s">
        <v>111</v>
      </c>
      <c r="D1" s="1" t="s">
        <v>285</v>
      </c>
      <c r="E1" s="1" t="s">
        <v>483</v>
      </c>
      <c r="F1" s="1" t="s">
        <v>102</v>
      </c>
      <c r="G1" s="1" t="s">
        <v>288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>
      <c r="A2" s="92">
        <v>1.0</v>
      </c>
      <c r="B2" s="93" t="s">
        <v>484</v>
      </c>
      <c r="C2" s="94" t="str">
        <f>"TC"&amp;ROW()-1</f>
        <v>TC1</v>
      </c>
      <c r="D2" s="74" t="s">
        <v>485</v>
      </c>
      <c r="E2" s="73"/>
      <c r="F2" s="95" t="b">
        <v>1</v>
      </c>
      <c r="G2" s="73"/>
    </row>
    <row r="3">
      <c r="A3" s="92">
        <f t="shared" ref="A3:A8" si="1">A2+1</f>
        <v>2</v>
      </c>
      <c r="B3" s="93" t="s">
        <v>486</v>
      </c>
      <c r="C3" s="94" t="s">
        <v>128</v>
      </c>
      <c r="D3" s="74" t="s">
        <v>487</v>
      </c>
      <c r="E3" s="73"/>
      <c r="F3" s="74" t="s">
        <v>488</v>
      </c>
      <c r="G3" s="74" t="s">
        <v>489</v>
      </c>
    </row>
    <row r="4">
      <c r="A4" s="92">
        <f t="shared" si="1"/>
        <v>3</v>
      </c>
      <c r="B4" s="93" t="s">
        <v>490</v>
      </c>
      <c r="C4" s="92" t="str">
        <f t="shared" ref="C4:C8" si="2">"TC"&amp;ROW()-1</f>
        <v>TC3</v>
      </c>
      <c r="D4" s="74" t="s">
        <v>491</v>
      </c>
      <c r="E4" s="73"/>
      <c r="F4" s="95" t="s">
        <v>492</v>
      </c>
      <c r="G4" s="74" t="s">
        <v>493</v>
      </c>
    </row>
    <row r="5">
      <c r="A5" s="92">
        <f t="shared" si="1"/>
        <v>4</v>
      </c>
      <c r="B5" s="93" t="s">
        <v>494</v>
      </c>
      <c r="C5" s="92" t="str">
        <f t="shared" si="2"/>
        <v>TC4</v>
      </c>
      <c r="D5" s="74" t="s">
        <v>495</v>
      </c>
      <c r="E5" s="73"/>
      <c r="F5" s="95" t="s">
        <v>496</v>
      </c>
      <c r="G5" s="74" t="s">
        <v>497</v>
      </c>
    </row>
    <row r="6">
      <c r="A6" s="92">
        <f t="shared" si="1"/>
        <v>5</v>
      </c>
      <c r="B6" s="96" t="s">
        <v>498</v>
      </c>
      <c r="C6" s="92" t="str">
        <f t="shared" si="2"/>
        <v>TC5</v>
      </c>
      <c r="D6" s="74" t="s">
        <v>499</v>
      </c>
      <c r="E6" s="73"/>
      <c r="F6" s="95" t="s">
        <v>496</v>
      </c>
      <c r="G6" s="74" t="s">
        <v>500</v>
      </c>
    </row>
    <row r="7" ht="44.25" customHeight="1">
      <c r="A7" s="92">
        <f t="shared" si="1"/>
        <v>6</v>
      </c>
      <c r="B7" s="93" t="s">
        <v>501</v>
      </c>
      <c r="C7" s="92" t="str">
        <f t="shared" si="2"/>
        <v>TC6</v>
      </c>
      <c r="D7" s="74" t="s">
        <v>502</v>
      </c>
      <c r="E7" s="73"/>
      <c r="F7" s="95" t="s">
        <v>496</v>
      </c>
      <c r="G7" s="71" t="s">
        <v>503</v>
      </c>
    </row>
    <row r="8" ht="42.75" customHeight="1">
      <c r="A8" s="92">
        <f t="shared" si="1"/>
        <v>7</v>
      </c>
      <c r="B8" s="93" t="s">
        <v>504</v>
      </c>
      <c r="C8" s="92" t="str">
        <f t="shared" si="2"/>
        <v>TC7</v>
      </c>
      <c r="D8" s="74" t="s">
        <v>505</v>
      </c>
      <c r="E8" s="73"/>
      <c r="F8" s="95" t="s">
        <v>496</v>
      </c>
      <c r="G8" s="71" t="s">
        <v>506</v>
      </c>
    </row>
    <row r="9" ht="15.75" customHeight="1">
      <c r="A9" s="92"/>
      <c r="B9" s="93"/>
      <c r="C9" s="92"/>
      <c r="D9" s="97"/>
      <c r="E9" s="73"/>
      <c r="F9" s="73"/>
      <c r="G9" s="73"/>
    </row>
    <row r="10" ht="15.75" customHeight="1">
      <c r="A10" s="92"/>
      <c r="B10" s="93"/>
      <c r="C10" s="92"/>
      <c r="D10" s="97"/>
      <c r="E10" s="73"/>
      <c r="F10" s="73"/>
      <c r="G10" s="73"/>
    </row>
    <row r="11" ht="15.75" customHeight="1">
      <c r="A11" s="92"/>
      <c r="B11" s="93"/>
      <c r="C11" s="92"/>
      <c r="D11" s="97"/>
      <c r="E11" s="73"/>
      <c r="F11" s="73"/>
      <c r="G11" s="73"/>
    </row>
    <row r="12" ht="15.75" customHeight="1">
      <c r="A12" s="92"/>
      <c r="B12" s="93"/>
      <c r="C12" s="92"/>
      <c r="D12" s="97"/>
      <c r="E12" s="73"/>
      <c r="F12" s="73"/>
      <c r="G12" s="73"/>
    </row>
    <row r="13" ht="15.75" customHeight="1">
      <c r="A13" s="92"/>
      <c r="B13" s="93"/>
      <c r="C13" s="92"/>
      <c r="D13" s="97"/>
      <c r="E13" s="73"/>
      <c r="F13" s="73"/>
      <c r="G13" s="73"/>
    </row>
    <row r="14" ht="15.75" customHeight="1">
      <c r="A14" s="92"/>
      <c r="B14" s="93"/>
      <c r="C14" s="92"/>
      <c r="D14" s="97"/>
      <c r="E14" s="73"/>
      <c r="F14" s="73"/>
      <c r="G14" s="73"/>
    </row>
    <row r="15" ht="15.75" customHeight="1">
      <c r="A15" s="92"/>
      <c r="B15" s="93"/>
      <c r="C15" s="92"/>
      <c r="D15" s="97"/>
      <c r="E15" s="73"/>
      <c r="F15" s="73"/>
      <c r="G15" s="73"/>
    </row>
    <row r="16" ht="15.75" customHeight="1">
      <c r="A16" s="92"/>
      <c r="B16" s="93"/>
      <c r="C16" s="92"/>
      <c r="D16" s="97"/>
      <c r="E16" s="73"/>
      <c r="F16" s="73"/>
      <c r="G16" s="73"/>
    </row>
    <row r="17" ht="15.75" customHeight="1">
      <c r="A17" s="92"/>
      <c r="B17" s="93"/>
      <c r="C17" s="92"/>
      <c r="D17" s="97"/>
      <c r="E17" s="73"/>
      <c r="F17" s="73"/>
      <c r="G17" s="73"/>
    </row>
    <row r="18" ht="15.75" customHeight="1">
      <c r="A18" s="92"/>
      <c r="B18" s="93"/>
      <c r="C18" s="92"/>
      <c r="D18" s="97"/>
      <c r="E18" s="73"/>
      <c r="F18" s="73"/>
      <c r="G18" s="73"/>
    </row>
    <row r="19" ht="15.75" customHeight="1">
      <c r="A19" s="92"/>
      <c r="B19" s="93"/>
      <c r="C19" s="92"/>
      <c r="D19" s="97"/>
      <c r="E19" s="73"/>
      <c r="F19" s="73"/>
      <c r="G19" s="73"/>
    </row>
    <row r="20" ht="15.75" customHeight="1">
      <c r="A20" s="92"/>
      <c r="B20" s="93"/>
      <c r="C20" s="92"/>
      <c r="D20" s="97"/>
      <c r="E20" s="73"/>
      <c r="F20" s="73"/>
      <c r="G20" s="73"/>
    </row>
    <row r="21" ht="15.75" customHeight="1">
      <c r="A21" s="73"/>
      <c r="B21" s="73"/>
      <c r="C21" s="73"/>
      <c r="D21" s="73"/>
      <c r="E21" s="73"/>
      <c r="F21" s="73"/>
      <c r="G21" s="73"/>
    </row>
    <row r="22" ht="15.75" customHeight="1">
      <c r="A22" s="73"/>
      <c r="B22" s="73"/>
      <c r="C22" s="73"/>
      <c r="D22" s="73"/>
      <c r="E22" s="73"/>
      <c r="F22" s="73"/>
      <c r="G22" s="73"/>
    </row>
    <row r="23" ht="15.75" customHeight="1">
      <c r="A23" s="73"/>
      <c r="B23" s="73"/>
      <c r="C23" s="73"/>
      <c r="D23" s="73"/>
      <c r="E23" s="73"/>
      <c r="F23" s="73"/>
      <c r="G23" s="73"/>
    </row>
    <row r="24" ht="15.75" customHeight="1">
      <c r="A24" s="73"/>
      <c r="B24" s="73"/>
      <c r="C24" s="73"/>
      <c r="D24" s="73"/>
      <c r="E24" s="73"/>
      <c r="F24" s="73"/>
      <c r="G24" s="73"/>
    </row>
    <row r="25" ht="15.75" customHeight="1">
      <c r="A25" s="73"/>
      <c r="B25" s="73"/>
      <c r="C25" s="73"/>
      <c r="D25" s="73"/>
      <c r="E25" s="73"/>
      <c r="F25" s="73"/>
      <c r="G25" s="73"/>
    </row>
    <row r="26" ht="15.75" customHeight="1">
      <c r="A26" s="73"/>
      <c r="B26" s="73"/>
      <c r="C26" s="73"/>
      <c r="D26" s="73"/>
      <c r="E26" s="73"/>
      <c r="F26" s="73"/>
      <c r="G26" s="73"/>
    </row>
    <row r="27" ht="15.75" customHeight="1">
      <c r="A27" s="73"/>
      <c r="B27" s="73"/>
      <c r="C27" s="73"/>
      <c r="D27" s="73"/>
      <c r="E27" s="73"/>
      <c r="F27" s="73"/>
      <c r="G27" s="73"/>
    </row>
    <row r="28" ht="15.75" customHeight="1">
      <c r="A28" s="73"/>
      <c r="B28" s="73"/>
      <c r="C28" s="73"/>
      <c r="D28" s="73"/>
      <c r="E28" s="73"/>
      <c r="F28" s="73"/>
      <c r="G28" s="73"/>
    </row>
    <row r="29" ht="15.75" customHeight="1">
      <c r="A29" s="73"/>
      <c r="B29" s="73"/>
      <c r="C29" s="73"/>
      <c r="D29" s="73"/>
      <c r="E29" s="73"/>
      <c r="F29" s="73"/>
      <c r="G29" s="73"/>
    </row>
    <row r="30" ht="15.75" customHeight="1">
      <c r="A30" s="73"/>
      <c r="B30" s="73"/>
      <c r="C30" s="73"/>
      <c r="D30" s="73"/>
      <c r="E30" s="73"/>
      <c r="F30" s="73"/>
      <c r="G30" s="73"/>
    </row>
    <row r="31" ht="15.75" customHeight="1">
      <c r="A31" s="73"/>
      <c r="B31" s="73"/>
      <c r="C31" s="73"/>
      <c r="D31" s="73"/>
      <c r="E31" s="73"/>
      <c r="F31" s="73"/>
      <c r="G31" s="73"/>
    </row>
    <row r="32" ht="15.75" customHeight="1">
      <c r="A32" s="73"/>
      <c r="B32" s="73"/>
      <c r="C32" s="73"/>
      <c r="D32" s="73"/>
      <c r="E32" s="73"/>
      <c r="F32" s="73"/>
      <c r="G32" s="73"/>
    </row>
    <row r="33" ht="15.75" customHeight="1">
      <c r="A33" s="73"/>
      <c r="B33" s="73"/>
      <c r="C33" s="73"/>
      <c r="D33" s="73"/>
      <c r="E33" s="73"/>
      <c r="F33" s="73"/>
      <c r="G33" s="73"/>
    </row>
    <row r="34" ht="15.75" customHeight="1">
      <c r="A34" s="73"/>
      <c r="B34" s="73"/>
      <c r="C34" s="73"/>
      <c r="D34" s="73"/>
      <c r="E34" s="73"/>
      <c r="F34" s="73"/>
      <c r="G34" s="73"/>
    </row>
    <row r="35" ht="15.75" customHeight="1">
      <c r="A35" s="73"/>
      <c r="B35" s="73"/>
      <c r="C35" s="73"/>
      <c r="D35" s="73"/>
      <c r="E35" s="73"/>
      <c r="F35" s="73"/>
      <c r="G35" s="73"/>
    </row>
    <row r="36" ht="15.75" customHeight="1">
      <c r="A36" s="73"/>
      <c r="B36" s="73"/>
      <c r="C36" s="73"/>
      <c r="D36" s="73"/>
      <c r="E36" s="73"/>
      <c r="F36" s="73"/>
      <c r="G36" s="73"/>
    </row>
    <row r="37" ht="15.75" customHeight="1">
      <c r="A37" s="73"/>
      <c r="B37" s="73"/>
      <c r="C37" s="73"/>
      <c r="D37" s="73"/>
      <c r="E37" s="73"/>
      <c r="F37" s="73"/>
      <c r="G37" s="73"/>
    </row>
    <row r="38" ht="15.75" customHeight="1">
      <c r="A38" s="73"/>
      <c r="B38" s="73"/>
      <c r="C38" s="73"/>
      <c r="D38" s="73"/>
      <c r="E38" s="73"/>
      <c r="F38" s="73"/>
      <c r="G38" s="73"/>
    </row>
    <row r="39" ht="15.75" customHeight="1">
      <c r="A39" s="73"/>
      <c r="B39" s="73"/>
      <c r="C39" s="73"/>
      <c r="D39" s="73"/>
      <c r="E39" s="73"/>
      <c r="F39" s="73"/>
      <c r="G39" s="73"/>
    </row>
    <row r="40" ht="15.75" customHeight="1">
      <c r="A40" s="73"/>
      <c r="B40" s="73"/>
      <c r="C40" s="73"/>
      <c r="D40" s="73"/>
      <c r="E40" s="73"/>
      <c r="F40" s="73"/>
      <c r="G40" s="73"/>
    </row>
    <row r="41" ht="15.75" customHeight="1">
      <c r="A41" s="73"/>
      <c r="B41" s="73"/>
      <c r="C41" s="73"/>
      <c r="D41" s="73"/>
      <c r="E41" s="73"/>
      <c r="F41" s="73"/>
      <c r="G41" s="73"/>
    </row>
    <row r="42" ht="15.75" customHeight="1">
      <c r="A42" s="73"/>
      <c r="B42" s="73"/>
      <c r="C42" s="73"/>
      <c r="D42" s="73"/>
      <c r="E42" s="73"/>
      <c r="F42" s="73"/>
      <c r="G42" s="73"/>
    </row>
    <row r="43" ht="15.75" customHeight="1">
      <c r="A43" s="73"/>
      <c r="B43" s="73"/>
      <c r="C43" s="73"/>
      <c r="D43" s="73"/>
      <c r="E43" s="73"/>
      <c r="F43" s="73"/>
      <c r="G43" s="7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